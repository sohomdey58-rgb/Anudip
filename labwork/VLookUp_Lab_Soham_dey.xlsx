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392033-4616-4F39-B9D6-CACEFFB53E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G2" i="2"/>
  <c r="G3" i="2"/>
  <c r="H3" i="2"/>
  <c r="H4" i="2"/>
  <c r="H5" i="2"/>
  <c r="H6" i="2"/>
  <c r="H7" i="2"/>
  <c r="H8" i="2"/>
  <c r="H2" i="2"/>
  <c r="G4" i="2"/>
  <c r="G5" i="2"/>
  <c r="G6" i="2"/>
  <c r="G7" i="2"/>
  <c r="G8" i="2"/>
  <c r="E7" i="2"/>
  <c r="F7" i="2" s="1"/>
  <c r="D7" i="2"/>
  <c r="E6" i="2"/>
  <c r="F6" i="2" s="1"/>
  <c r="D6" i="2"/>
  <c r="E5" i="2"/>
  <c r="F5" i="2" s="1"/>
  <c r="D5" i="2"/>
  <c r="E4" i="2"/>
  <c r="F4" i="2" s="1"/>
  <c r="D4" i="2"/>
  <c r="E3" i="2"/>
  <c r="F3" i="2" s="1"/>
  <c r="D3" i="2"/>
  <c r="E2" i="2"/>
  <c r="F2" i="2" s="1"/>
  <c r="D2" i="2"/>
</calcChain>
</file>

<file path=xl/sharedStrings.xml><?xml version="1.0" encoding="utf-8"?>
<sst xmlns="http://schemas.openxmlformats.org/spreadsheetml/2006/main" count="18" uniqueCount="16">
  <si>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</si>
  <si>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</si>
  <si>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</si>
  <si>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</si>
  <si>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</si>
  <si>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</si>
  <si>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</si>
  <si>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</si>
  <si>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</si>
  <si>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</si>
  <si>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</si>
  <si>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</si>
  <si>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TotalPrice</t>
  </si>
  <si>
    <t>Prod. Present or Not</t>
  </si>
  <si>
    <t>Discounted Price</t>
  </si>
  <si>
    <t>Ordered/notordered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</si>
</sst>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6" sqref="D16"/>
    </sheetView>
  </sheetViews>
  <sheetFormatPr defaultRowHeight="14.4" x14ac:dyDescent="0.3"/>
  <cols>
    <col min="4" max="4" width="17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15</v>
      </c>
    </row>
    <row r="2" spans="1:4" x14ac:dyDescent="0.3">
      <c r="A2">
        <v>101</v>
      </c>
      <c r="B2" t="s">
        <v>3</v>
      </c>
      <c r="C2">
        <v>120</v>
      </c>
      <c r="D2" t="str">
        <f>IF(ISNA(VLOOKUP(A2,Products!B2:F7,1,0)),"ORDERED","NOT ORDERED")</f>
        <v>ORDERED</v>
      </c>
    </row>
    <row r="3" spans="1:4" x14ac:dyDescent="0.3">
      <c r="A3">
        <v>102</v>
      </c>
      <c r="B3" t="s">
        <v>4</v>
      </c>
      <c r="C3">
        <v>150</v>
      </c>
      <c r="D3" t="str">
        <f>IF(ISNA(VLOOKUP(A3,Products!B3:F8,1,0)),"ORDERED","NOT ORDERED")</f>
        <v>ORDERED</v>
      </c>
    </row>
    <row r="4" spans="1:4" x14ac:dyDescent="0.3">
      <c r="A4">
        <v>103</v>
      </c>
      <c r="B4" t="s">
        <v>5</v>
      </c>
      <c r="C4">
        <v>200</v>
      </c>
      <c r="D4" t="str">
        <f>IF(ISNA(VLOOKUP(A4,Products!B4:F9,1,0)),"ORDERED","NOT ORDERED")</f>
        <v>ORDERED</v>
      </c>
    </row>
    <row r="5" spans="1:4" x14ac:dyDescent="0.3">
      <c r="A5">
        <v>104</v>
      </c>
      <c r="B5" t="s">
        <v>6</v>
      </c>
      <c r="C5">
        <v>90</v>
      </c>
      <c r="D5" t="str">
        <f>IF(ISNA(VLOOKUP(A5,Products!B5:F10,1,0)),"ORDERED","NOT ORDERED")</f>
        <v>ORDERED</v>
      </c>
    </row>
    <row r="6" spans="1:4" x14ac:dyDescent="0.3">
      <c r="A6">
        <v>105</v>
      </c>
      <c r="B6" t="s">
        <v>7</v>
      </c>
      <c r="C6">
        <v>220</v>
      </c>
      <c r="D6" t="str">
        <f>IF(ISNA(VLOOKUP(A6,Products!B6:F11,1,0)),"ORDERED","NOT ORDERED")</f>
        <v>ORDERED</v>
      </c>
    </row>
    <row r="7" spans="1:4" x14ac:dyDescent="0.3">
      <c r="A7">
        <v>106</v>
      </c>
      <c r="B7" t="s">
        <v>8</v>
      </c>
      <c r="C7">
        <v>130</v>
      </c>
      <c r="D7" t="str">
        <f>IF(ISNA(VLOOKUP(A7,Products!B7:F12,1,0)),"ORDERED","NOT ORDERED")</f>
        <v>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opLeftCell="B1" workbookViewId="0">
      <selection activeCell="D17" sqref="D17"/>
    </sheetView>
  </sheetViews>
  <sheetFormatPr defaultRowHeight="14.4" x14ac:dyDescent="0.3"/>
  <cols>
    <col min="4" max="4" width="12.21875" bestFit="1" customWidth="1"/>
    <col min="7" max="7" width="17.88671875" bestFit="1" customWidth="1"/>
    <col min="8" max="8" width="14.6640625" bestFit="1" customWidth="1"/>
  </cols>
  <sheetData>
    <row r="1" spans="1:9" x14ac:dyDescent="0.3">
      <c r="A1" s="1" t="s">
        <v>9</v>
      </c>
      <c r="B1" s="1" t="s">
        <v>0</v>
      </c>
      <c r="C1" s="1" t="s">
        <v>10</v>
      </c>
      <c r="D1" s="1" t="s">
        <v>11</v>
      </c>
      <c r="E1" s="1" t="s">
        <v>2</v>
      </c>
      <c r="F1" s="1" t="s">
        <v>12</v>
      </c>
      <c r="G1" s="1" t="s">
        <v>13</v>
      </c>
      <c r="H1" s="1" t="s">
        <v>14</v>
      </c>
      <c r="I1" s="2"/>
    </row>
    <row r="2" spans="1:9" x14ac:dyDescent="0.3">
      <c r="A2">
        <v>1</v>
      </c>
      <c r="B2">
        <v>101</v>
      </c>
      <c r="C2">
        <v>2</v>
      </c>
      <c r="D2" t="str">
        <f>VLOOKUP(B2,Products!$A$2:$C$7,2,FALSE)</f>
        <v>Product A</v>
      </c>
      <c r="E2">
        <f>VLOOKUP(B2,Products!$A$2:$C$7,3,FALSE)</f>
        <v>120</v>
      </c>
      <c r="F2">
        <f t="shared" ref="F2:F7" si="0">C2*E2</f>
        <v>240</v>
      </c>
      <c r="G2" t="str">
        <f>IF(ISNA(VLOOKUP(B2,Products!$A$1:$A$7,1,0)),"N0","YES")</f>
        <v>YES</v>
      </c>
      <c r="H2">
        <f>E2-E2*10%</f>
        <v>108</v>
      </c>
    </row>
    <row r="3" spans="1:9" x14ac:dyDescent="0.3">
      <c r="A3">
        <v>2</v>
      </c>
      <c r="B3">
        <v>103</v>
      </c>
      <c r="C3">
        <v>1</v>
      </c>
      <c r="D3" t="str">
        <f>VLOOKUP(B3,Products!$A$2:$C$7,2,FALSE)</f>
        <v>Product C</v>
      </c>
      <c r="E3">
        <f>VLOOKUP(B3,Products!$A$2:$C$7,3,FALSE)</f>
        <v>200</v>
      </c>
      <c r="F3">
        <f t="shared" si="0"/>
        <v>200</v>
      </c>
      <c r="G3" t="str">
        <f>IF(ISNA(VLOOKUP(B3,Products!$A$1:$A$7,1,0)),"N0","YES")</f>
        <v>YES</v>
      </c>
      <c r="H3">
        <f t="shared" ref="H3:H8" si="1">E3-E3*10%</f>
        <v>180</v>
      </c>
    </row>
    <row r="4" spans="1:9" x14ac:dyDescent="0.3">
      <c r="A4">
        <v>3</v>
      </c>
      <c r="B4">
        <v>105</v>
      </c>
      <c r="C4">
        <v>4</v>
      </c>
      <c r="D4" t="str">
        <f>VLOOKUP(B4,Products!$A$2:$C$7,2,FALSE)</f>
        <v>Product E</v>
      </c>
      <c r="E4">
        <f>VLOOKUP(B4,Products!$A$2:$C$7,3,FALSE)</f>
        <v>220</v>
      </c>
      <c r="F4">
        <f t="shared" si="0"/>
        <v>880</v>
      </c>
      <c r="G4" t="str">
        <f>IF(ISNA(VLOOKUP(B4,Products!$A$1:$A$7,1,0)),"N0","YES")</f>
        <v>YES</v>
      </c>
      <c r="H4">
        <f t="shared" si="1"/>
        <v>198</v>
      </c>
    </row>
    <row r="5" spans="1:9" x14ac:dyDescent="0.3">
      <c r="A5">
        <v>4</v>
      </c>
      <c r="B5">
        <v>106</v>
      </c>
      <c r="C5">
        <v>3</v>
      </c>
      <c r="D5" t="str">
        <f>VLOOKUP(B5,Products!$A$2:$C$7,2,FALSE)</f>
        <v>Product F</v>
      </c>
      <c r="E5">
        <f>VLOOKUP(B5,Products!$A$2:$C$7,3,FALSE)</f>
        <v>130</v>
      </c>
      <c r="F5">
        <f t="shared" si="0"/>
        <v>390</v>
      </c>
      <c r="G5" t="str">
        <f>IF(ISNA(VLOOKUP(B5,Products!$A$1:$A$7,1,0)),"N0","YES")</f>
        <v>YES</v>
      </c>
      <c r="H5">
        <f t="shared" si="1"/>
        <v>117</v>
      </c>
    </row>
    <row r="6" spans="1:9" x14ac:dyDescent="0.3">
      <c r="A6">
        <v>5</v>
      </c>
      <c r="B6">
        <v>102</v>
      </c>
      <c r="C6">
        <v>5</v>
      </c>
      <c r="D6" t="str">
        <f>VLOOKUP(B6,Products!$A$2:$C$7,2,FALSE)</f>
        <v>Product B</v>
      </c>
      <c r="E6">
        <f>VLOOKUP(B6,Products!$A$2:$C$7,3,FALSE)</f>
        <v>150</v>
      </c>
      <c r="F6">
        <f t="shared" si="0"/>
        <v>750</v>
      </c>
      <c r="G6" t="str">
        <f>IF(ISNA(VLOOKUP(B6,Products!$A$1:$A$7,1,0)),"N0","YES")</f>
        <v>YES</v>
      </c>
      <c r="H6">
        <f t="shared" si="1"/>
        <v>135</v>
      </c>
    </row>
    <row r="7" spans="1:9" x14ac:dyDescent="0.3">
      <c r="A7">
        <v>6</v>
      </c>
      <c r="B7">
        <v>104</v>
      </c>
      <c r="C7">
        <v>6</v>
      </c>
      <c r="D7" t="str">
        <f>VLOOKUP(B7,Products!$A$2:$C$7,2,FALSE)</f>
        <v>Product D</v>
      </c>
      <c r="E7">
        <f>VLOOKUP(B7,Products!$A$2:$C$7,3,FALSE)</f>
        <v>90</v>
      </c>
      <c r="F7">
        <f t="shared" si="0"/>
        <v>540</v>
      </c>
      <c r="G7" t="str">
        <f>IF(ISNA(VLOOKUP(B7,Products!$A$1:$A$7,1,0)),"N0","YES")</f>
        <v>YES</v>
      </c>
      <c r="H7">
        <f t="shared" si="1"/>
        <v>81</v>
      </c>
    </row>
    <row r="8" spans="1:9" x14ac:dyDescent="0.3">
      <c r="A8">
        <v>7</v>
      </c>
      <c r="B8">
        <v>107</v>
      </c>
      <c r="G8" t="str">
        <f>IF(ISNA(VLOOKUP(B8,Products!$A$1:$A$7,1,0)),"N0","YES")</f>
        <v>N0</v>
      </c>
      <c r="H8">
        <f t="shared" si="1"/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Chandni Saha</cp:lastModifiedBy>
  <dcterms:created xsi:type="dcterms:W3CDTF">2026-08-07T10:05:17Z</dcterms:created>
  <dcterms:modified xsi:type="dcterms:W3CDTF">2026-08-10T07:25:52Z</dcterms:modified>
</cp:coreProperties>
</file>