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5050B997-2BAD-418D-A216-7F104A2A63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<sst xmlns="http://schemas.openxmlformats.org/spreadsheetml/2006/main" count="25" uniqueCount="23">
  <si>
    <t>Product ID</t>
  </si>
  <si>
    <t>Product</t>
  </si>
  <si>
    <t xml:space="preserve">Sales 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</si>
  <si>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</si>
  <si>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</si>
  <si>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</si>
  <si>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</si>
  <si>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</si>
  <si>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</si>
  <si>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</si>
  <si>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</si>
  <si>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</si>
  <si>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</si>
  <si>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</si>
  <si>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</si>
  <si>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Bonus Amount</t>
  </si>
  <si>
    <t>Price Tier</t>
  </si>
  <si>
    <t>Year-end Bonus</t>
  </si>
  <si>
    <t>Product Performence</t>
  </si>
  <si>
    <t>Met Target</t>
  </si>
  <si>
    <t>Regional Bonus</t>
  </si>
  <si>
    <t>Commission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</si>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</sst>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0" xfId="0" applyNumberFormat="1"/>
    <xf numFmtId="0" fontId="2" fillId="3" borderId="1" xfId="2" applyBorder="1" applyAlignment="1">
      <alignment horizontal="center"/>
    </xf>
    <xf numFmtId="0" fontId="1" fillId="2" borderId="1" xfId="1" applyBorder="1" applyAlignment="1">
      <alignment horizontal="center"/>
    </xf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C1" workbookViewId="0">
      <selection activeCell="P11" sqref="P11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6" bestFit="1" customWidth="1"/>
    <col min="4" max="4" width="8.109375" bestFit="1" customWidth="1"/>
    <col min="5" max="5" width="7.109375" bestFit="1" customWidth="1"/>
    <col min="6" max="6" width="12.5546875" bestFit="1" customWidth="1"/>
    <col min="7" max="7" width="13.5546875" bestFit="1" customWidth="1"/>
    <col min="8" max="8" width="16" bestFit="1" customWidth="1"/>
    <col min="9" max="9" width="12.88671875" bestFit="1" customWidth="1"/>
    <col min="10" max="10" width="17.77734375" bestFit="1" customWidth="1"/>
    <col min="11" max="11" width="19.5546875" bestFit="1" customWidth="1"/>
    <col min="12" max="12" width="13.88671875" bestFit="1" customWidth="1"/>
    <col min="13" max="13" width="18.5546875" bestFit="1" customWidth="1"/>
    <col min="14" max="14" width="20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19</v>
      </c>
      <c r="G1" s="5" t="s">
        <v>20</v>
      </c>
      <c r="H1" s="5" t="s">
        <v>21</v>
      </c>
      <c r="I1" s="5" t="s">
        <v>15</v>
      </c>
      <c r="J1" s="5" t="s">
        <v>22</v>
      </c>
      <c r="K1" s="5" t="s">
        <v>16</v>
      </c>
      <c r="L1" s="5" t="s">
        <v>17</v>
      </c>
      <c r="M1" s="5" t="s">
        <v>18</v>
      </c>
    </row>
    <row r="2" spans="1:13" x14ac:dyDescent="0.3">
      <c r="A2" s="2">
        <v>101</v>
      </c>
      <c r="B2" s="3" t="s">
        <v>5</v>
      </c>
      <c r="C2" s="2">
        <v>120</v>
      </c>
      <c r="D2" s="2">
        <v>150</v>
      </c>
      <c r="E2" s="2" t="s">
        <v>11</v>
      </c>
      <c r="F2" s="6" t="str">
        <f>IF(C2&gt;=D2,"Met","Not Met")</f>
        <v>Not Met</v>
      </c>
      <c r="G2" s="6" t="str">
        <f>IF(AND(E2="North",C2&gt;200),"Eligible","Not Eligible")</f>
        <v>Not Eligible</v>
      </c>
      <c r="H2" s="6" t="str">
        <f>IF(C2&gt;=200,"10%",IF(C2&gt;=150,"7%","5%"))</f>
        <v>5%</v>
      </c>
      <c r="I2" s="6">
        <f>IF(C2&gt;=D2,C2*10%,C2*5%)</f>
        <v>6</v>
      </c>
      <c r="J2" s="6" t="str">
        <f>IF(C2&gt;=200,"Excellent",IF(C2&gt;=150,"Good","Needs Improvement"))</f>
        <v>Needs Improvement</v>
      </c>
      <c r="K2" s="6" t="str">
        <f>IF(C2&gt;200,"High",IF(C2&gt;=100,"Medium","Low"))</f>
        <v>Medium</v>
      </c>
      <c r="L2" s="6" t="str">
        <f>IF(AND(C2&gt;=150,E2="North"),"500$","300$")</f>
        <v>300$</v>
      </c>
      <c r="M2" s="6" t="str">
        <f>IF(C2&gt;=_xlfn.PERCENTILE.INC($C$2:$C$7,0.75),"High Performance","Low Performance")</f>
        <v>Low Performance</v>
      </c>
    </row>
    <row r="3" spans="1:13" x14ac:dyDescent="0.3">
      <c r="A3" s="2">
        <v>102</v>
      </c>
      <c r="B3" s="3" t="s">
        <v>6</v>
      </c>
      <c r="C3" s="2">
        <v>150</v>
      </c>
      <c r="D3" s="2">
        <v>140</v>
      </c>
      <c r="E3" s="2" t="s">
        <v>12</v>
      </c>
      <c r="F3" s="6" t="str">
        <f t="shared" ref="F3:F7" si="0">IF(C3&gt;=D3,"Met","Not Met")</f>
        <v>Met</v>
      </c>
      <c r="G3" s="6" t="str">
        <f t="shared" ref="G3:G7" si="1">IF(AND(E3="North",C3&gt;200),"Eligible","Not Eligible")</f>
        <v>Not Eligible</v>
      </c>
      <c r="H3" s="6" t="str">
        <f t="shared" ref="H3:H7" si="2">IF(C3&gt;=200,"10%",IF(C3&gt;=150,"7%","5%"))</f>
        <v>7%</v>
      </c>
      <c r="I3" s="6">
        <f t="shared" ref="I3:I7" si="3">IF(C3&gt;=D3,C3*10%,C3*5%)</f>
        <v>15</v>
      </c>
      <c r="J3" s="6" t="str">
        <f t="shared" ref="J3:J7" si="4">IF(C3&gt;=200,"Excellent",IF(C3&gt;=150,"Good","Needs Improvement"))</f>
        <v>Good</v>
      </c>
      <c r="K3" s="6" t="str">
        <f t="shared" ref="K3:K7" si="5">IF(C3&gt;200,"High",IF(C3&gt;=100,"Medium","Low"))</f>
        <v>Medium</v>
      </c>
      <c r="L3" s="6" t="str">
        <f t="shared" ref="L3:L7" si="6">IF(AND(C3&gt;=150,E3="North"),"500$","300$")</f>
        <v>300$</v>
      </c>
      <c r="M3" s="6" t="str">
        <f>IF(C3&gt;=_xlfn.PERCENTILE.INC($C$2:$C$7,0.75),"High Performance","Low Performance")</f>
        <v>Low Performance</v>
      </c>
    </row>
    <row r="4" spans="1:13" x14ac:dyDescent="0.3">
      <c r="A4" s="2">
        <v>103</v>
      </c>
      <c r="B4" s="3" t="s">
        <v>7</v>
      </c>
      <c r="C4" s="2">
        <v>200</v>
      </c>
      <c r="D4" s="2">
        <v>200</v>
      </c>
      <c r="E4" s="2" t="s">
        <v>13</v>
      </c>
      <c r="F4" s="6" t="str">
        <f t="shared" si="0"/>
        <v>Met</v>
      </c>
      <c r="G4" s="6" t="str">
        <f t="shared" si="1"/>
        <v>Not Eligible</v>
      </c>
      <c r="H4" s="6" t="str">
        <f t="shared" si="2"/>
        <v>10%</v>
      </c>
      <c r="I4" s="6">
        <f t="shared" si="3"/>
        <v>20</v>
      </c>
      <c r="J4" s="6" t="str">
        <f t="shared" si="4"/>
        <v>Excellent</v>
      </c>
      <c r="K4" s="6" t="str">
        <f t="shared" si="5"/>
        <v>Medium</v>
      </c>
      <c r="L4" s="6" t="str">
        <f t="shared" si="6"/>
        <v>300$</v>
      </c>
      <c r="M4" s="6" t="str">
        <f>IF(C4&gt;=_xlfn.PERCENTILE.INC($C$2:$C$7,0.75),"High Performance","Low Performance")</f>
        <v>High Performance</v>
      </c>
    </row>
    <row r="5" spans="1:13" x14ac:dyDescent="0.3">
      <c r="A5" s="2">
        <v>104</v>
      </c>
      <c r="B5" s="3" t="s">
        <v>8</v>
      </c>
      <c r="C5" s="2">
        <v>90</v>
      </c>
      <c r="D5" s="2">
        <v>100</v>
      </c>
      <c r="E5" s="2" t="s">
        <v>14</v>
      </c>
      <c r="F5" s="6" t="str">
        <f t="shared" si="0"/>
        <v>Not Met</v>
      </c>
      <c r="G5" s="6" t="str">
        <f t="shared" si="1"/>
        <v>Not Eligible</v>
      </c>
      <c r="H5" s="6" t="str">
        <f t="shared" si="2"/>
        <v>5%</v>
      </c>
      <c r="I5" s="6">
        <f t="shared" si="3"/>
        <v>4.5</v>
      </c>
      <c r="J5" s="6" t="str">
        <f t="shared" si="4"/>
        <v>Needs Improvement</v>
      </c>
      <c r="K5" s="6" t="str">
        <f t="shared" si="5"/>
        <v>Low</v>
      </c>
      <c r="L5" s="6" t="str">
        <f t="shared" si="6"/>
        <v>300$</v>
      </c>
      <c r="M5" s="6" t="str">
        <f>IF(C5&gt;=_xlfn.PERCENTILE.INC($C$2:$C$7,0.75),"High Performance","Low Performance")</f>
        <v>Low Performance</v>
      </c>
    </row>
    <row r="6" spans="1:13" x14ac:dyDescent="0.3">
      <c r="A6" s="2">
        <v>105</v>
      </c>
      <c r="B6" s="3" t="s">
        <v>9</v>
      </c>
      <c r="C6" s="2">
        <v>220</v>
      </c>
      <c r="D6" s="2">
        <v>210</v>
      </c>
      <c r="E6" s="2" t="s">
        <v>11</v>
      </c>
      <c r="F6" s="6" t="str">
        <f t="shared" si="0"/>
        <v>Met</v>
      </c>
      <c r="G6" s="6" t="str">
        <f t="shared" si="1"/>
        <v>Eligible</v>
      </c>
      <c r="H6" s="6" t="str">
        <f t="shared" si="2"/>
        <v>10%</v>
      </c>
      <c r="I6" s="6">
        <f t="shared" si="3"/>
        <v>22</v>
      </c>
      <c r="J6" s="6" t="str">
        <f t="shared" si="4"/>
        <v>Excellent</v>
      </c>
      <c r="K6" s="6" t="str">
        <f t="shared" si="5"/>
        <v>High</v>
      </c>
      <c r="L6" s="6" t="str">
        <f t="shared" si="6"/>
        <v>500$</v>
      </c>
      <c r="M6" s="6" t="str">
        <f>IF(C6&gt;=_xlfn.PERCENTILE.INC($C$2:$C$7,0.75),"High Performance","Low Performance")</f>
        <v>High Performance</v>
      </c>
    </row>
    <row r="7" spans="1:13" x14ac:dyDescent="0.3">
      <c r="A7" s="2">
        <v>106</v>
      </c>
      <c r="B7" s="3" t="s">
        <v>10</v>
      </c>
      <c r="C7" s="2">
        <v>130</v>
      </c>
      <c r="D7" s="2">
        <v>160</v>
      </c>
      <c r="E7" s="2" t="s">
        <v>12</v>
      </c>
      <c r="F7" s="6" t="str">
        <f t="shared" si="0"/>
        <v>Not Met</v>
      </c>
      <c r="G7" s="6" t="str">
        <f t="shared" si="1"/>
        <v>Not Eligible</v>
      </c>
      <c r="H7" s="6" t="str">
        <f t="shared" si="2"/>
        <v>5%</v>
      </c>
      <c r="I7" s="6">
        <f t="shared" si="3"/>
        <v>6.5</v>
      </c>
      <c r="J7" s="6" t="str">
        <f t="shared" si="4"/>
        <v>Needs Improvement</v>
      </c>
      <c r="K7" s="6" t="str">
        <f t="shared" si="5"/>
        <v>Medium</v>
      </c>
      <c r="L7" s="6" t="str">
        <f t="shared" si="6"/>
        <v>300$</v>
      </c>
      <c r="M7" s="6" t="str">
        <f>IF(C7&gt;=_xlfn.PERCENTILE.INC($C$2:$C$7,0.75),"High Performance","Low Performance")</f>
        <v>Low Performance</v>
      </c>
    </row>
    <row r="10" spans="1:13" x14ac:dyDescent="0.3">
      <c r="B10" s="1"/>
      <c r="C10" s="1"/>
      <c r="D10" s="1"/>
      <c r="E10" s="1"/>
      <c r="F10" s="1"/>
    </row>
    <row r="11" spans="1:13" x14ac:dyDescent="0.3">
      <c r="B11" s="1"/>
      <c r="C11" s="1"/>
      <c r="D11" s="1"/>
      <c r="E11" s="1"/>
      <c r="F11" s="1"/>
    </row>
    <row r="12" spans="1:13" x14ac:dyDescent="0.3">
      <c r="B12" s="1"/>
      <c r="C12" s="1"/>
      <c r="D12" s="1"/>
      <c r="E12" s="1"/>
      <c r="F12" s="1"/>
    </row>
    <row r="13" spans="1:13" x14ac:dyDescent="0.3">
      <c r="B13" s="1"/>
      <c r="C13" s="1"/>
      <c r="D13" s="1"/>
      <c r="E13" s="1"/>
      <c r="F13" s="1"/>
    </row>
    <row r="14" spans="1:13" x14ac:dyDescent="0.3">
      <c r="B14" s="1"/>
      <c r="C14" s="1"/>
      <c r="D14" s="1"/>
      <c r="E14" s="1"/>
      <c r="F14" s="1"/>
    </row>
    <row r="18" spans="1:1" x14ac:dyDescent="0.3">
      <c r="A1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nachinda</dc:creator>
  <cp:lastModifiedBy>sohomdey58@gmail.com</cp:lastModifiedBy>
  <dcterms:created xsi:type="dcterms:W3CDTF">2010-11-01T08:13:25Z</dcterms:created>
  <dcterms:modified xsi:type="dcterms:W3CDTF">2026-08-03T09:50:35Z</dcterms:modified>
</cp:coreProperties>
</file>