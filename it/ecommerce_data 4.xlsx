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CF3743AD-0395-4439-AEE6-A74F3E611BB9}" xr6:coauthVersionLast="47" xr6:coauthVersionMax="47" xr10:uidLastSave="{00000000-0000-0000-0000-000000000000}"/>
  <bookViews>
    <workbookView xWindow="-108" yWindow="-108" windowWidth="23256" windowHeight="13176" activeTab="2" xr2:uid="{B275022F-1C1C-4C40-87FB-494BA723265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6" i="3" l="1"/>
  <c r="Z14" i="3"/>
  <c r="Z11" i="3"/>
  <c r="AA8" i="3"/>
  <c r="Z5" i="3"/>
  <c r="W3" i="3" a="1"/>
  <c r="W3" i="3" s="1"/>
  <c r="W4" i="3" a="1"/>
  <c r="W4" i="3" s="1"/>
  <c r="W5" i="3" a="1"/>
  <c r="W5" i="3"/>
  <c r="W6" i="3" a="1"/>
  <c r="W6" i="3"/>
  <c r="W7" i="3" a="1"/>
  <c r="W7" i="3" s="1"/>
  <c r="W8" i="3" a="1"/>
  <c r="W8" i="3" s="1"/>
  <c r="W9" i="3" a="1"/>
  <c r="W9" i="3" s="1"/>
  <c r="W10" i="3" a="1"/>
  <c r="W10" i="3"/>
  <c r="W11" i="3" a="1"/>
  <c r="W11" i="3" s="1"/>
  <c r="W12" i="3" a="1"/>
  <c r="W12" i="3" s="1"/>
  <c r="W13" i="3" a="1"/>
  <c r="W13" i="3"/>
  <c r="W14" i="3" a="1"/>
  <c r="W14" i="3" s="1"/>
  <c r="W15" i="3" a="1"/>
  <c r="W15" i="3" s="1"/>
  <c r="W16" i="3" a="1"/>
  <c r="W16" i="3" s="1"/>
  <c r="W17" i="3" a="1"/>
  <c r="W17" i="3"/>
  <c r="W18" i="3" a="1"/>
  <c r="W18" i="3"/>
  <c r="W19" i="3" a="1"/>
  <c r="W19" i="3" s="1"/>
  <c r="W20" i="3" a="1"/>
  <c r="W20" i="3" s="1"/>
  <c r="W21" i="3" a="1"/>
  <c r="W21" i="3"/>
  <c r="W22" i="3" a="1"/>
  <c r="W22" i="3"/>
  <c r="W23" i="3" a="1"/>
  <c r="W23" i="3" s="1"/>
  <c r="W24" i="3" a="1"/>
  <c r="W24" i="3" s="1"/>
  <c r="W25" i="3" a="1"/>
  <c r="W25" i="3" s="1"/>
  <c r="W26" i="3" a="1"/>
  <c r="W26" i="3"/>
  <c r="W27" i="3" a="1"/>
  <c r="W27" i="3" s="1"/>
  <c r="W28" i="3" a="1"/>
  <c r="W28" i="3" s="1"/>
  <c r="W29" i="3" a="1"/>
  <c r="W29" i="3"/>
  <c r="W30" i="3" a="1"/>
  <c r="W30" i="3" s="1"/>
  <c r="W31" i="3" a="1"/>
  <c r="W31" i="3" s="1"/>
  <c r="W32" i="3" a="1"/>
  <c r="W32" i="3" s="1"/>
  <c r="W33" i="3" a="1"/>
  <c r="W33" i="3"/>
  <c r="W34" i="3" a="1"/>
  <c r="W34" i="3"/>
  <c r="W35" i="3" a="1"/>
  <c r="W35" i="3" s="1"/>
  <c r="W36" i="3" a="1"/>
  <c r="W36" i="3" s="1"/>
  <c r="W37" i="3" a="1"/>
  <c r="W37" i="3"/>
  <c r="W38" i="3" a="1"/>
  <c r="W38" i="3"/>
  <c r="W39" i="3" a="1"/>
  <c r="W39" i="3" s="1"/>
  <c r="W40" i="3" a="1"/>
  <c r="W40" i="3" s="1"/>
  <c r="W41" i="3" a="1"/>
  <c r="W41" i="3" s="1"/>
  <c r="W42" i="3" a="1"/>
  <c r="W42" i="3"/>
  <c r="W43" i="3" a="1"/>
  <c r="W43" i="3" s="1"/>
  <c r="W44" i="3" a="1"/>
  <c r="W44" i="3" s="1"/>
  <c r="W45" i="3" a="1"/>
  <c r="W45" i="3"/>
  <c r="W46" i="3" a="1"/>
  <c r="W46" i="3" s="1"/>
  <c r="W47" i="3" a="1"/>
  <c r="W47" i="3" s="1"/>
  <c r="W48" i="3" a="1"/>
  <c r="W48" i="3" s="1"/>
  <c r="W49" i="3" a="1"/>
  <c r="W49" i="3"/>
  <c r="W50" i="3" a="1"/>
  <c r="W50" i="3"/>
  <c r="W51" i="3" a="1"/>
  <c r="W51" i="3" s="1"/>
  <c r="W52" i="3" a="1"/>
  <c r="W52" i="3" s="1"/>
  <c r="W53" i="3" a="1"/>
  <c r="W53" i="3"/>
  <c r="W54" i="3" a="1"/>
  <c r="W54" i="3"/>
  <c r="W55" i="3" a="1"/>
  <c r="W55" i="3" s="1"/>
  <c r="W56" i="3" a="1"/>
  <c r="W56" i="3" s="1"/>
  <c r="W57" i="3" a="1"/>
  <c r="W57" i="3" s="1"/>
  <c r="W58" i="3" a="1"/>
  <c r="W58" i="3"/>
  <c r="W59" i="3" a="1"/>
  <c r="W59" i="3" s="1"/>
  <c r="W60" i="3" a="1"/>
  <c r="W60" i="3" s="1"/>
  <c r="W61" i="3" a="1"/>
  <c r="W61" i="3"/>
  <c r="W62" i="3" a="1"/>
  <c r="W62" i="3" s="1"/>
  <c r="W63" i="3" a="1"/>
  <c r="W63" i="3" s="1"/>
  <c r="W64" i="3" a="1"/>
  <c r="W64" i="3" s="1"/>
  <c r="W65" i="3" a="1"/>
  <c r="W65" i="3"/>
  <c r="W66" i="3" a="1"/>
  <c r="W66" i="3"/>
  <c r="W67" i="3" a="1"/>
  <c r="W67" i="3" s="1"/>
  <c r="W68" i="3" a="1"/>
  <c r="W68" i="3" s="1"/>
  <c r="W69" i="3" a="1"/>
  <c r="W69" i="3"/>
  <c r="W70" i="3" a="1"/>
  <c r="W70" i="3"/>
  <c r="W71" i="3" a="1"/>
  <c r="W71" i="3" s="1"/>
  <c r="W72" i="3" a="1"/>
  <c r="W72" i="3" s="1"/>
  <c r="W73" i="3" a="1"/>
  <c r="W73" i="3" s="1"/>
  <c r="W74" i="3" a="1"/>
  <c r="W74" i="3"/>
  <c r="W75" i="3" a="1"/>
  <c r="W75" i="3" s="1"/>
  <c r="W76" i="3" a="1"/>
  <c r="W76" i="3" s="1"/>
  <c r="W77" i="3" a="1"/>
  <c r="W77" i="3"/>
  <c r="W78" i="3" a="1"/>
  <c r="W78" i="3" s="1"/>
  <c r="W79" i="3" a="1"/>
  <c r="W79" i="3" s="1"/>
  <c r="W80" i="3" a="1"/>
  <c r="W80" i="3" s="1"/>
  <c r="W81" i="3" a="1"/>
  <c r="W81" i="3"/>
  <c r="W82" i="3" a="1"/>
  <c r="W82" i="3"/>
  <c r="W83" i="3" a="1"/>
  <c r="W83" i="3" s="1"/>
  <c r="W84" i="3" a="1"/>
  <c r="W84" i="3" s="1"/>
  <c r="W85" i="3" a="1"/>
  <c r="W85" i="3"/>
  <c r="W86" i="3" a="1"/>
  <c r="W86" i="3"/>
  <c r="W87" i="3" a="1"/>
  <c r="W87" i="3" s="1"/>
  <c r="W88" i="3" a="1"/>
  <c r="W88" i="3" s="1"/>
  <c r="W89" i="3" a="1"/>
  <c r="W89" i="3" s="1"/>
  <c r="W90" i="3" a="1"/>
  <c r="W90" i="3"/>
  <c r="W91" i="3" a="1"/>
  <c r="W91" i="3" s="1"/>
  <c r="W92" i="3" a="1"/>
  <c r="W92" i="3" s="1"/>
  <c r="W93" i="3" a="1"/>
  <c r="W93" i="3"/>
  <c r="W94" i="3" a="1"/>
  <c r="W94" i="3" s="1"/>
  <c r="W95" i="3" a="1"/>
  <c r="W95" i="3" s="1"/>
  <c r="W96" i="3" a="1"/>
  <c r="W96" i="3" s="1"/>
  <c r="W97" i="3" a="1"/>
  <c r="W97" i="3"/>
  <c r="W98" i="3" a="1"/>
  <c r="W98" i="3"/>
  <c r="W99" i="3" a="1"/>
  <c r="W99" i="3" s="1"/>
  <c r="W100" i="3" a="1"/>
  <c r="W100" i="3" s="1"/>
  <c r="W101" i="3" a="1"/>
  <c r="W101" i="3"/>
  <c r="W102" i="3" a="1"/>
  <c r="W102" i="3"/>
  <c r="W103" i="3" a="1"/>
  <c r="W103" i="3" s="1"/>
  <c r="W104" i="3" a="1"/>
  <c r="W104" i="3" s="1"/>
  <c r="W105" i="3" a="1"/>
  <c r="W105" i="3" s="1"/>
  <c r="W106" i="3" a="1"/>
  <c r="W106" i="3"/>
  <c r="W107" i="3" a="1"/>
  <c r="W107" i="3" s="1"/>
  <c r="W108" i="3" a="1"/>
  <c r="W108" i="3" s="1"/>
  <c r="W109" i="3" a="1"/>
  <c r="W109" i="3"/>
  <c r="W110" i="3" a="1"/>
  <c r="W110" i="3" s="1"/>
  <c r="W111" i="3" a="1"/>
  <c r="W111" i="3" s="1"/>
  <c r="W112" i="3" a="1"/>
  <c r="W112" i="3" s="1"/>
  <c r="W113" i="3" a="1"/>
  <c r="W113" i="3"/>
  <c r="W114" i="3" a="1"/>
  <c r="W114" i="3"/>
  <c r="W115" i="3" a="1"/>
  <c r="W115" i="3" s="1"/>
  <c r="W116" i="3" a="1"/>
  <c r="W116" i="3" s="1"/>
  <c r="W117" i="3" a="1"/>
  <c r="W117" i="3"/>
  <c r="W118" i="3" a="1"/>
  <c r="W118" i="3"/>
  <c r="W119" i="3" a="1"/>
  <c r="W119" i="3" s="1"/>
  <c r="W120" i="3" a="1"/>
  <c r="W120" i="3" s="1"/>
  <c r="W121" i="3" a="1"/>
  <c r="W121" i="3" s="1"/>
  <c r="W122" i="3" a="1"/>
  <c r="W122" i="3"/>
  <c r="W123" i="3" a="1"/>
  <c r="W123" i="3" s="1"/>
  <c r="W124" i="3" a="1"/>
  <c r="W124" i="3" s="1"/>
  <c r="W125" i="3" a="1"/>
  <c r="W125" i="3"/>
  <c r="W126" i="3" a="1"/>
  <c r="W126" i="3" s="1"/>
  <c r="W127" i="3" a="1"/>
  <c r="W127" i="3" s="1"/>
  <c r="W128" i="3" a="1"/>
  <c r="W128" i="3" s="1"/>
  <c r="W129" i="3" a="1"/>
  <c r="W129" i="3"/>
  <c r="W130" i="3" a="1"/>
  <c r="W130" i="3"/>
  <c r="W131" i="3" a="1"/>
  <c r="W131" i="3" s="1"/>
  <c r="W132" i="3" a="1"/>
  <c r="W132" i="3" s="1"/>
  <c r="W133" i="3" a="1"/>
  <c r="W133" i="3"/>
  <c r="W134" i="3" a="1"/>
  <c r="W134" i="3"/>
  <c r="W135" i="3" a="1"/>
  <c r="W135" i="3" s="1"/>
  <c r="W136" i="3" a="1"/>
  <c r="W136" i="3" s="1"/>
  <c r="W137" i="3" a="1"/>
  <c r="W137" i="3" s="1"/>
  <c r="W138" i="3" a="1"/>
  <c r="W138" i="3"/>
  <c r="W139" i="3" a="1"/>
  <c r="W139" i="3" s="1"/>
  <c r="W140" i="3" a="1"/>
  <c r="W140" i="3" s="1"/>
  <c r="W141" i="3" a="1"/>
  <c r="W141" i="3"/>
  <c r="W142" i="3" a="1"/>
  <c r="W142" i="3" s="1"/>
  <c r="W143" i="3" a="1"/>
  <c r="W143" i="3" s="1"/>
  <c r="W144" i="3" a="1"/>
  <c r="W144" i="3" s="1"/>
  <c r="W145" i="3" a="1"/>
  <c r="W145" i="3"/>
  <c r="W146" i="3" a="1"/>
  <c r="W146" i="3"/>
  <c r="W147" i="3" a="1"/>
  <c r="W147" i="3" s="1"/>
  <c r="W148" i="3" a="1"/>
  <c r="W148" i="3" s="1"/>
  <c r="W149" i="3" a="1"/>
  <c r="W149" i="3"/>
  <c r="W150" i="3" a="1"/>
  <c r="W150" i="3"/>
  <c r="W151" i="3" a="1"/>
  <c r="W151" i="3" s="1"/>
  <c r="W152" i="3" a="1"/>
  <c r="W152" i="3" s="1"/>
  <c r="W153" i="3" a="1"/>
  <c r="W153" i="3" s="1"/>
  <c r="W154" i="3" a="1"/>
  <c r="W154" i="3"/>
  <c r="W155" i="3" a="1"/>
  <c r="W155" i="3" s="1"/>
  <c r="W156" i="3" a="1"/>
  <c r="W156" i="3" s="1"/>
  <c r="W157" i="3" a="1"/>
  <c r="W157" i="3"/>
  <c r="W158" i="3" a="1"/>
  <c r="W158" i="3" s="1"/>
  <c r="W159" i="3" a="1"/>
  <c r="W159" i="3" s="1"/>
  <c r="W160" i="3" a="1"/>
  <c r="W160" i="3" s="1"/>
  <c r="W161" i="3" a="1"/>
  <c r="W161" i="3"/>
  <c r="W162" i="3" a="1"/>
  <c r="W162" i="3"/>
  <c r="W163" i="3" a="1"/>
  <c r="W163" i="3" s="1"/>
  <c r="W164" i="3" a="1"/>
  <c r="W164" i="3" s="1"/>
  <c r="W165" i="3" a="1"/>
  <c r="W165" i="3"/>
  <c r="W166" i="3" a="1"/>
  <c r="W166" i="3"/>
  <c r="W167" i="3" a="1"/>
  <c r="W167" i="3" s="1"/>
  <c r="W168" i="3" a="1"/>
  <c r="W168" i="3" s="1"/>
  <c r="W169" i="3" a="1"/>
  <c r="W169" i="3" s="1"/>
  <c r="W170" i="3" a="1"/>
  <c r="W170" i="3"/>
  <c r="W171" i="3" a="1"/>
  <c r="W171" i="3" s="1"/>
  <c r="W172" i="3" a="1"/>
  <c r="W172" i="3" s="1"/>
  <c r="W173" i="3" a="1"/>
  <c r="W173" i="3"/>
  <c r="W174" i="3" a="1"/>
  <c r="W174" i="3" s="1"/>
  <c r="W175" i="3" a="1"/>
  <c r="W175" i="3" s="1"/>
  <c r="W176" i="3" a="1"/>
  <c r="W176" i="3" s="1"/>
  <c r="W177" i="3" a="1"/>
  <c r="W177" i="3"/>
  <c r="W178" i="3" a="1"/>
  <c r="W178" i="3"/>
  <c r="W179" i="3" a="1"/>
  <c r="W179" i="3" s="1"/>
  <c r="W180" i="3" a="1"/>
  <c r="W180" i="3" s="1"/>
  <c r="W181" i="3" a="1"/>
  <c r="W181" i="3"/>
  <c r="W182" i="3" a="1"/>
  <c r="W182" i="3"/>
  <c r="W183" i="3" a="1"/>
  <c r="W183" i="3" s="1"/>
  <c r="W184" i="3" a="1"/>
  <c r="W184" i="3" s="1"/>
  <c r="W185" i="3" a="1"/>
  <c r="W185" i="3" s="1"/>
  <c r="W186" i="3" a="1"/>
  <c r="W186" i="3"/>
  <c r="W187" i="3" a="1"/>
  <c r="W187" i="3" s="1"/>
  <c r="W188" i="3" a="1"/>
  <c r="W188" i="3" s="1"/>
  <c r="W189" i="3" a="1"/>
  <c r="W189" i="3"/>
  <c r="W190" i="3" a="1"/>
  <c r="W190" i="3" s="1"/>
  <c r="W191" i="3" a="1"/>
  <c r="W191" i="3" s="1"/>
  <c r="W192" i="3" a="1"/>
  <c r="W192" i="3" s="1"/>
  <c r="W193" i="3" a="1"/>
  <c r="W193" i="3"/>
  <c r="W194" i="3" a="1"/>
  <c r="W194" i="3"/>
  <c r="W195" i="3" a="1"/>
  <c r="W195" i="3" s="1"/>
  <c r="W196" i="3" a="1"/>
  <c r="W196" i="3" s="1"/>
  <c r="W197" i="3" a="1"/>
  <c r="W197" i="3"/>
  <c r="W198" i="3" a="1"/>
  <c r="W198" i="3"/>
  <c r="W199" i="3" a="1"/>
  <c r="W199" i="3" s="1"/>
  <c r="W200" i="3" a="1"/>
  <c r="W200" i="3" s="1"/>
  <c r="W201" i="3" a="1"/>
  <c r="W201" i="3" s="1"/>
  <c r="W202" i="3" a="1"/>
  <c r="W202" i="3"/>
  <c r="W203" i="3" a="1"/>
  <c r="W203" i="3" s="1"/>
  <c r="W204" i="3" a="1"/>
  <c r="W204" i="3" s="1"/>
  <c r="W205" i="3" a="1"/>
  <c r="W205" i="3"/>
  <c r="W206" i="3" a="1"/>
  <c r="W206" i="3" s="1"/>
  <c r="W207" i="3" a="1"/>
  <c r="W207" i="3" s="1"/>
  <c r="W208" i="3" a="1"/>
  <c r="W208" i="3" s="1"/>
  <c r="W209" i="3" a="1"/>
  <c r="W209" i="3"/>
  <c r="W210" i="3" a="1"/>
  <c r="W210" i="3"/>
  <c r="W211" i="3" a="1"/>
  <c r="W211" i="3" s="1"/>
  <c r="W212" i="3" a="1"/>
  <c r="W212" i="3" s="1"/>
  <c r="W213" i="3" a="1"/>
  <c r="W213" i="3"/>
  <c r="W214" i="3" a="1"/>
  <c r="W214" i="3"/>
  <c r="W215" i="3" a="1"/>
  <c r="W215" i="3" s="1"/>
  <c r="W216" i="3" a="1"/>
  <c r="W216" i="3" s="1"/>
  <c r="W217" i="3" a="1"/>
  <c r="W217" i="3" s="1"/>
  <c r="W218" i="3" a="1"/>
  <c r="W218" i="3"/>
  <c r="W219" i="3" a="1"/>
  <c r="W219" i="3" s="1"/>
  <c r="W220" i="3" a="1"/>
  <c r="W220" i="3" s="1"/>
  <c r="W221" i="3" a="1"/>
  <c r="W221" i="3"/>
  <c r="W222" i="3" a="1"/>
  <c r="W222" i="3" s="1"/>
  <c r="W223" i="3" a="1"/>
  <c r="W223" i="3" s="1"/>
  <c r="W224" i="3" a="1"/>
  <c r="W224" i="3" s="1"/>
  <c r="W225" i="3" a="1"/>
  <c r="W225" i="3"/>
  <c r="W226" i="3" a="1"/>
  <c r="W226" i="3"/>
  <c r="W227" i="3" a="1"/>
  <c r="W227" i="3" s="1"/>
  <c r="W228" i="3" a="1"/>
  <c r="W228" i="3" s="1"/>
  <c r="W229" i="3" a="1"/>
  <c r="W229" i="3"/>
  <c r="W230" i="3" a="1"/>
  <c r="W230" i="3"/>
  <c r="W231" i="3" a="1"/>
  <c r="W231" i="3" s="1"/>
  <c r="W232" i="3" a="1"/>
  <c r="W232" i="3" s="1"/>
  <c r="W233" i="3" a="1"/>
  <c r="W233" i="3" s="1"/>
  <c r="W234" i="3" a="1"/>
  <c r="W234" i="3"/>
  <c r="W235" i="3" a="1"/>
  <c r="W235" i="3" s="1"/>
  <c r="W236" i="3" a="1"/>
  <c r="W236" i="3" s="1"/>
  <c r="W237" i="3" a="1"/>
  <c r="W237" i="3"/>
  <c r="W238" i="3" a="1"/>
  <c r="W238" i="3" s="1"/>
  <c r="W239" i="3" a="1"/>
  <c r="W239" i="3" s="1"/>
  <c r="W240" i="3" a="1"/>
  <c r="W240" i="3" s="1"/>
  <c r="W241" i="3" a="1"/>
  <c r="W241" i="3"/>
  <c r="W242" i="3" a="1"/>
  <c r="W242" i="3"/>
  <c r="W243" i="3" a="1"/>
  <c r="W243" i="3" s="1"/>
  <c r="W244" i="3" a="1"/>
  <c r="W244" i="3" s="1"/>
  <c r="W245" i="3" a="1"/>
  <c r="W245" i="3"/>
  <c r="W246" i="3" a="1"/>
  <c r="W246" i="3"/>
  <c r="W247" i="3" a="1"/>
  <c r="W247" i="3" s="1"/>
  <c r="W248" i="3" a="1"/>
  <c r="W248" i="3" s="1"/>
  <c r="W249" i="3" a="1"/>
  <c r="W249" i="3" s="1"/>
  <c r="W250" i="3" a="1"/>
  <c r="W250" i="3"/>
  <c r="W251" i="3" a="1"/>
  <c r="W251" i="3" s="1"/>
  <c r="W252" i="3" a="1"/>
  <c r="W252" i="3" s="1"/>
  <c r="W253" i="3" a="1"/>
  <c r="W253" i="3"/>
  <c r="W254" i="3" a="1"/>
  <c r="W254" i="3" s="1"/>
  <c r="W255" i="3" a="1"/>
  <c r="W255" i="3" s="1"/>
  <c r="W256" i="3" a="1"/>
  <c r="W256" i="3" s="1"/>
  <c r="W257" i="3" a="1"/>
  <c r="W257" i="3"/>
  <c r="W258" i="3" a="1"/>
  <c r="W258" i="3"/>
  <c r="W259" i="3" a="1"/>
  <c r="W259" i="3" s="1"/>
  <c r="W260" i="3" a="1"/>
  <c r="W260" i="3" s="1"/>
  <c r="W261" i="3" a="1"/>
  <c r="W261" i="3"/>
  <c r="W262" i="3" a="1"/>
  <c r="W262" i="3"/>
  <c r="W263" i="3" a="1"/>
  <c r="W263" i="3" s="1"/>
  <c r="W264" i="3" a="1"/>
  <c r="W264" i="3" s="1"/>
  <c r="W265" i="3" a="1"/>
  <c r="W265" i="3" s="1"/>
  <c r="W266" i="3" a="1"/>
  <c r="W266" i="3"/>
  <c r="W267" i="3" a="1"/>
  <c r="W267" i="3" s="1"/>
  <c r="W268" i="3" a="1"/>
  <c r="W268" i="3" s="1"/>
  <c r="W269" i="3" a="1"/>
  <c r="W269" i="3"/>
  <c r="W270" i="3" a="1"/>
  <c r="W270" i="3" s="1"/>
  <c r="W271" i="3" a="1"/>
  <c r="W271" i="3" s="1"/>
  <c r="W272" i="3" a="1"/>
  <c r="W272" i="3" s="1"/>
  <c r="W273" i="3" a="1"/>
  <c r="W273" i="3"/>
  <c r="W274" i="3" a="1"/>
  <c r="W274" i="3"/>
  <c r="W275" i="3" a="1"/>
  <c r="W275" i="3" s="1"/>
  <c r="W276" i="3" a="1"/>
  <c r="W276" i="3" s="1"/>
  <c r="W277" i="3" a="1"/>
  <c r="W277" i="3"/>
  <c r="W278" i="3" a="1"/>
  <c r="W278" i="3"/>
  <c r="W279" i="3" a="1"/>
  <c r="W279" i="3" s="1"/>
  <c r="W280" i="3" a="1"/>
  <c r="W280" i="3" s="1"/>
  <c r="W281" i="3" a="1"/>
  <c r="W281" i="3" s="1"/>
  <c r="W282" i="3" a="1"/>
  <c r="W282" i="3"/>
  <c r="W283" i="3" a="1"/>
  <c r="W283" i="3" s="1"/>
  <c r="W284" i="3" a="1"/>
  <c r="W284" i="3" s="1"/>
  <c r="W285" i="3" a="1"/>
  <c r="W285" i="3"/>
  <c r="W286" i="3" a="1"/>
  <c r="W286" i="3" s="1"/>
  <c r="W287" i="3" a="1"/>
  <c r="W287" i="3" s="1"/>
  <c r="W288" i="3" a="1"/>
  <c r="W288" i="3" s="1"/>
  <c r="W289" i="3" a="1"/>
  <c r="W289" i="3"/>
  <c r="W290" i="3" a="1"/>
  <c r="W290" i="3"/>
  <c r="W291" i="3" a="1"/>
  <c r="W291" i="3" s="1"/>
  <c r="W292" i="3" a="1"/>
  <c r="W292" i="3" s="1"/>
  <c r="W293" i="3" a="1"/>
  <c r="W293" i="3"/>
  <c r="W294" i="3" a="1"/>
  <c r="W294" i="3"/>
  <c r="W295" i="3" a="1"/>
  <c r="W295" i="3" s="1"/>
  <c r="W296" i="3" a="1"/>
  <c r="W296" i="3" s="1"/>
  <c r="W297" i="3" a="1"/>
  <c r="W297" i="3" s="1"/>
  <c r="W298" i="3" a="1"/>
  <c r="W298" i="3"/>
  <c r="W299" i="3" a="1"/>
  <c r="W299" i="3" s="1"/>
  <c r="W300" i="3" a="1"/>
  <c r="W300" i="3" s="1"/>
  <c r="W301" i="3" a="1"/>
  <c r="W301" i="3"/>
  <c r="W302" i="3" a="1"/>
  <c r="W302" i="3" s="1"/>
  <c r="W303" i="3" a="1"/>
  <c r="W303" i="3" s="1"/>
  <c r="W304" i="3" a="1"/>
  <c r="W304" i="3" s="1"/>
  <c r="W305" i="3" a="1"/>
  <c r="W305" i="3"/>
  <c r="W306" i="3" a="1"/>
  <c r="W306" i="3"/>
  <c r="W307" i="3" a="1"/>
  <c r="W307" i="3" s="1"/>
  <c r="W308" i="3" a="1"/>
  <c r="W308" i="3" s="1"/>
  <c r="W309" i="3" a="1"/>
  <c r="W309" i="3"/>
  <c r="W310" i="3" a="1"/>
  <c r="W310" i="3"/>
  <c r="W311" i="3" a="1"/>
  <c r="W311" i="3" s="1"/>
  <c r="W312" i="3" a="1"/>
  <c r="W312" i="3" s="1"/>
  <c r="W313" i="3" a="1"/>
  <c r="W313" i="3" s="1"/>
  <c r="W314" i="3" a="1"/>
  <c r="W314" i="3"/>
  <c r="W315" i="3" a="1"/>
  <c r="W315" i="3" s="1"/>
  <c r="W316" i="3" a="1"/>
  <c r="W316" i="3" s="1"/>
  <c r="W317" i="3" a="1"/>
  <c r="W317" i="3"/>
  <c r="W318" i="3" a="1"/>
  <c r="W318" i="3" s="1"/>
  <c r="W319" i="3" a="1"/>
  <c r="W319" i="3" s="1"/>
  <c r="W320" i="3" a="1"/>
  <c r="W320" i="3" s="1"/>
  <c r="W321" i="3" a="1"/>
  <c r="W321" i="3"/>
  <c r="W322" i="3" a="1"/>
  <c r="W322" i="3"/>
  <c r="W323" i="3" a="1"/>
  <c r="W323" i="3" s="1"/>
  <c r="W324" i="3" a="1"/>
  <c r="W324" i="3" s="1"/>
  <c r="W325" i="3" a="1"/>
  <c r="W325" i="3"/>
  <c r="W326" i="3" a="1"/>
  <c r="W326" i="3"/>
  <c r="W327" i="3" a="1"/>
  <c r="W327" i="3" s="1"/>
  <c r="W328" i="3" a="1"/>
  <c r="W328" i="3" s="1"/>
  <c r="W329" i="3" a="1"/>
  <c r="W329" i="3" s="1"/>
  <c r="W330" i="3" a="1"/>
  <c r="W330" i="3"/>
  <c r="W331" i="3" a="1"/>
  <c r="W331" i="3" s="1"/>
  <c r="W332" i="3" a="1"/>
  <c r="W332" i="3" s="1"/>
  <c r="W333" i="3" a="1"/>
  <c r="W333" i="3"/>
  <c r="W334" i="3" a="1"/>
  <c r="W334" i="3" s="1"/>
  <c r="W335" i="3" a="1"/>
  <c r="W335" i="3" s="1"/>
  <c r="W336" i="3" a="1"/>
  <c r="W336" i="3" s="1"/>
  <c r="W337" i="3" a="1"/>
  <c r="W337" i="3"/>
  <c r="W338" i="3" a="1"/>
  <c r="W338" i="3"/>
  <c r="W339" i="3" a="1"/>
  <c r="W339" i="3" s="1"/>
  <c r="W340" i="3" a="1"/>
  <c r="W340" i="3" s="1"/>
  <c r="W341" i="3" a="1"/>
  <c r="W341" i="3"/>
  <c r="W342" i="3" a="1"/>
  <c r="W342" i="3"/>
  <c r="W343" i="3" a="1"/>
  <c r="W343" i="3"/>
  <c r="W344" i="3" a="1"/>
  <c r="W344" i="3" s="1"/>
  <c r="W345" i="3" a="1"/>
  <c r="W345" i="3"/>
  <c r="W346" i="3" a="1"/>
  <c r="W346" i="3"/>
  <c r="W347" i="3" a="1"/>
  <c r="W347" i="3"/>
  <c r="W348" i="3" a="1"/>
  <c r="W348" i="3" s="1"/>
  <c r="W349" i="3" a="1"/>
  <c r="W349" i="3"/>
  <c r="W350" i="3" a="1"/>
  <c r="W350" i="3"/>
  <c r="W351" i="3" a="1"/>
  <c r="W351" i="3"/>
  <c r="W352" i="3" a="1"/>
  <c r="W352" i="3" s="1"/>
  <c r="W353" i="3" a="1"/>
  <c r="W353" i="3"/>
  <c r="W354" i="3" a="1"/>
  <c r="W354" i="3"/>
  <c r="W355" i="3" a="1"/>
  <c r="W355" i="3"/>
  <c r="W356" i="3" a="1"/>
  <c r="W356" i="3" s="1"/>
  <c r="W357" i="3" a="1"/>
  <c r="W357" i="3"/>
  <c r="W358" i="3" a="1"/>
  <c r="W358" i="3"/>
  <c r="W359" i="3" a="1"/>
  <c r="W359" i="3"/>
  <c r="W360" i="3" a="1"/>
  <c r="W360" i="3" s="1"/>
  <c r="W361" i="3" a="1"/>
  <c r="W361" i="3"/>
  <c r="W362" i="3" a="1"/>
  <c r="W362" i="3"/>
  <c r="W363" i="3" a="1"/>
  <c r="W363" i="3"/>
  <c r="W364" i="3" a="1"/>
  <c r="W364" i="3" s="1"/>
  <c r="W365" i="3" a="1"/>
  <c r="W365" i="3"/>
  <c r="W366" i="3" a="1"/>
  <c r="W366" i="3"/>
  <c r="W367" i="3" a="1"/>
  <c r="W367" i="3"/>
  <c r="W368" i="3" a="1"/>
  <c r="W368" i="3" s="1"/>
  <c r="W369" i="3" a="1"/>
  <c r="W369" i="3" s="1"/>
  <c r="W370" i="3" a="1"/>
  <c r="W370" i="3"/>
  <c r="W371" i="3" a="1"/>
  <c r="W371" i="3"/>
  <c r="W372" i="3" a="1"/>
  <c r="W372" i="3" s="1"/>
  <c r="W373" i="3" a="1"/>
  <c r="W373" i="3" s="1"/>
  <c r="W374" i="3" a="1"/>
  <c r="W374" i="3"/>
  <c r="W375" i="3" a="1"/>
  <c r="W375" i="3"/>
  <c r="W376" i="3" a="1"/>
  <c r="W376" i="3" s="1"/>
  <c r="W377" i="3" a="1"/>
  <c r="W377" i="3" s="1"/>
  <c r="W378" i="3" a="1"/>
  <c r="W378" i="3"/>
  <c r="W379" i="3" a="1"/>
  <c r="W379" i="3"/>
  <c r="W380" i="3" a="1"/>
  <c r="W380" i="3" s="1"/>
  <c r="W381" i="3" a="1"/>
  <c r="W381" i="3" s="1"/>
  <c r="W382" i="3" a="1"/>
  <c r="W382" i="3"/>
  <c r="W383" i="3" a="1"/>
  <c r="W383" i="3"/>
  <c r="W384" i="3" a="1"/>
  <c r="W384" i="3" s="1"/>
  <c r="W385" i="3" a="1"/>
  <c r="W385" i="3" s="1"/>
  <c r="W386" i="3" a="1"/>
  <c r="W386" i="3"/>
  <c r="W387" i="3" a="1"/>
  <c r="W387" i="3"/>
  <c r="W388" i="3" a="1"/>
  <c r="W388" i="3" s="1"/>
  <c r="W389" i="3" a="1"/>
  <c r="W389" i="3" s="1"/>
  <c r="W390" i="3" a="1"/>
  <c r="W390" i="3"/>
  <c r="W391" i="3" a="1"/>
  <c r="W391" i="3"/>
  <c r="W392" i="3" a="1"/>
  <c r="W392" i="3" s="1"/>
  <c r="W393" i="3" a="1"/>
  <c r="W393" i="3" s="1"/>
  <c r="W394" i="3" a="1"/>
  <c r="W394" i="3"/>
  <c r="W395" i="3" a="1"/>
  <c r="W395" i="3"/>
  <c r="W396" i="3" a="1"/>
  <c r="W396" i="3" s="1"/>
  <c r="W397" i="3" a="1"/>
  <c r="W397" i="3" s="1"/>
  <c r="W398" i="3" a="1"/>
  <c r="W398" i="3"/>
  <c r="W399" i="3" a="1"/>
  <c r="W399" i="3"/>
  <c r="W400" i="3" a="1"/>
  <c r="W400" i="3" s="1"/>
  <c r="W401" i="3" a="1"/>
  <c r="W401" i="3" s="1"/>
  <c r="W402" i="3" a="1"/>
  <c r="W402" i="3"/>
  <c r="W403" i="3" a="1"/>
  <c r="W403" i="3"/>
  <c r="W404" i="3" a="1"/>
  <c r="W404" i="3" s="1"/>
  <c r="W405" i="3" a="1"/>
  <c r="W405" i="3" s="1"/>
  <c r="W406" i="3" a="1"/>
  <c r="W406" i="3"/>
  <c r="W407" i="3" a="1"/>
  <c r="W407" i="3"/>
  <c r="W408" i="3" a="1"/>
  <c r="W408" i="3" s="1"/>
  <c r="W409" i="3" a="1"/>
  <c r="W409" i="3" s="1"/>
  <c r="W410" i="3" a="1"/>
  <c r="W410" i="3"/>
  <c r="W411" i="3" a="1"/>
  <c r="W411" i="3"/>
  <c r="W412" i="3" a="1"/>
  <c r="W412" i="3" s="1"/>
  <c r="W413" i="3" a="1"/>
  <c r="W413" i="3" s="1"/>
  <c r="W414" i="3" a="1"/>
  <c r="W414" i="3"/>
  <c r="W415" i="3" a="1"/>
  <c r="W415" i="3"/>
  <c r="W416" i="3" a="1"/>
  <c r="W416" i="3" s="1"/>
  <c r="W417" i="3" a="1"/>
  <c r="W417" i="3" s="1"/>
  <c r="W418" i="3" a="1"/>
  <c r="W418" i="3"/>
  <c r="W419" i="3" a="1"/>
  <c r="W419" i="3"/>
  <c r="W420" i="3" a="1"/>
  <c r="W420" i="3" s="1"/>
  <c r="W421" i="3" a="1"/>
  <c r="W421" i="3" s="1"/>
  <c r="W422" i="3" a="1"/>
  <c r="W422" i="3"/>
  <c r="W423" i="3" a="1"/>
  <c r="W423" i="3"/>
  <c r="W424" i="3" a="1"/>
  <c r="W424" i="3" s="1"/>
  <c r="W425" i="3" a="1"/>
  <c r="W425" i="3" s="1"/>
  <c r="W426" i="3" a="1"/>
  <c r="W426" i="3"/>
  <c r="W427" i="3" a="1"/>
  <c r="W427" i="3"/>
  <c r="W428" i="3" a="1"/>
  <c r="W428" i="3" s="1"/>
  <c r="W429" i="3" a="1"/>
  <c r="W429" i="3" s="1"/>
  <c r="W430" i="3" a="1"/>
  <c r="W430" i="3"/>
  <c r="W431" i="3" a="1"/>
  <c r="W431" i="3"/>
  <c r="W432" i="3" a="1"/>
  <c r="W432" i="3" s="1"/>
  <c r="W433" i="3" a="1"/>
  <c r="W433" i="3" s="1"/>
  <c r="W434" i="3" a="1"/>
  <c r="W434" i="3"/>
  <c r="W435" i="3" a="1"/>
  <c r="W435" i="3"/>
  <c r="W436" i="3" a="1"/>
  <c r="W436" i="3" s="1"/>
  <c r="W437" i="3" a="1"/>
  <c r="W437" i="3" s="1"/>
  <c r="W438" i="3" a="1"/>
  <c r="W438" i="3"/>
  <c r="W439" i="3" a="1"/>
  <c r="W439" i="3"/>
  <c r="W440" i="3" a="1"/>
  <c r="W440" i="3" s="1"/>
  <c r="W441" i="3" a="1"/>
  <c r="W441" i="3" s="1"/>
  <c r="W442" i="3" a="1"/>
  <c r="W442" i="3"/>
  <c r="W443" i="3" a="1"/>
  <c r="W443" i="3"/>
  <c r="W444" i="3" a="1"/>
  <c r="W444" i="3" s="1"/>
  <c r="W445" i="3" a="1"/>
  <c r="W445" i="3" s="1"/>
  <c r="W446" i="3" a="1"/>
  <c r="W446" i="3"/>
  <c r="W447" i="3" a="1"/>
  <c r="W447" i="3"/>
  <c r="W448" i="3" a="1"/>
  <c r="W448" i="3" s="1"/>
  <c r="W449" i="3" a="1"/>
  <c r="W449" i="3" s="1"/>
  <c r="W450" i="3" a="1"/>
  <c r="W450" i="3"/>
  <c r="W451" i="3" a="1"/>
  <c r="W451" i="3"/>
  <c r="W452" i="3" a="1"/>
  <c r="W452" i="3" s="1"/>
  <c r="W453" i="3" a="1"/>
  <c r="W453" i="3" s="1"/>
  <c r="W454" i="3" a="1"/>
  <c r="W454" i="3"/>
  <c r="W455" i="3" a="1"/>
  <c r="W455" i="3"/>
  <c r="W456" i="3" a="1"/>
  <c r="W456" i="3" s="1"/>
  <c r="W457" i="3" a="1"/>
  <c r="W457" i="3" s="1"/>
  <c r="W458" i="3" a="1"/>
  <c r="W458" i="3"/>
  <c r="W459" i="3" a="1"/>
  <c r="W459" i="3"/>
  <c r="W460" i="3" a="1"/>
  <c r="W460" i="3" s="1"/>
  <c r="W461" i="3" a="1"/>
  <c r="W461" i="3" s="1"/>
  <c r="W462" i="3" a="1"/>
  <c r="W462" i="3"/>
  <c r="W463" i="3" a="1"/>
  <c r="W463" i="3"/>
  <c r="W464" i="3" a="1"/>
  <c r="W464" i="3" s="1"/>
  <c r="W465" i="3" a="1"/>
  <c r="W465" i="3" s="1"/>
  <c r="W466" i="3" a="1"/>
  <c r="W466" i="3"/>
  <c r="W467" i="3" a="1"/>
  <c r="W467" i="3"/>
  <c r="W468" i="3" a="1"/>
  <c r="W468" i="3" s="1"/>
  <c r="W469" i="3" a="1"/>
  <c r="W469" i="3" s="1"/>
  <c r="W470" i="3" a="1"/>
  <c r="W470" i="3"/>
  <c r="W471" i="3" a="1"/>
  <c r="W471" i="3"/>
  <c r="W472" i="3" a="1"/>
  <c r="W472" i="3" s="1"/>
  <c r="W473" i="3" a="1"/>
  <c r="W473" i="3" s="1"/>
  <c r="W474" i="3" a="1"/>
  <c r="W474" i="3"/>
  <c r="W475" i="3" a="1"/>
  <c r="W475" i="3"/>
  <c r="W476" i="3" a="1"/>
  <c r="W476" i="3" s="1"/>
  <c r="W477" i="3" a="1"/>
  <c r="W477" i="3" s="1"/>
  <c r="W478" i="3" a="1"/>
  <c r="W478" i="3"/>
  <c r="W479" i="3" a="1"/>
  <c r="W479" i="3"/>
  <c r="W480" i="3" a="1"/>
  <c r="W480" i="3" s="1"/>
  <c r="W481" i="3" a="1"/>
  <c r="W481" i="3" s="1"/>
  <c r="W482" i="3" a="1"/>
  <c r="W482" i="3"/>
  <c r="W483" i="3" a="1"/>
  <c r="W483" i="3"/>
  <c r="W484" i="3" a="1"/>
  <c r="W484" i="3" s="1"/>
  <c r="W485" i="3" a="1"/>
  <c r="W485" i="3" s="1"/>
  <c r="W486" i="3" a="1"/>
  <c r="W486" i="3"/>
  <c r="W487" i="3" a="1"/>
  <c r="W487" i="3"/>
  <c r="W488" i="3" a="1"/>
  <c r="W488" i="3" s="1"/>
  <c r="W489" i="3" a="1"/>
  <c r="W489" i="3" s="1"/>
  <c r="W490" i="3" a="1"/>
  <c r="W490" i="3"/>
  <c r="W491" i="3" a="1"/>
  <c r="W491" i="3"/>
  <c r="W492" i="3" a="1"/>
  <c r="W492" i="3" s="1"/>
  <c r="W493" i="3" a="1"/>
  <c r="W493" i="3" s="1"/>
  <c r="W494" i="3" a="1"/>
  <c r="W494" i="3"/>
  <c r="W495" i="3" a="1"/>
  <c r="W495" i="3"/>
  <c r="W496" i="3" a="1"/>
  <c r="W496" i="3" s="1"/>
  <c r="W497" i="3" a="1"/>
  <c r="W497" i="3" s="1"/>
  <c r="W498" i="3" a="1"/>
  <c r="W498" i="3"/>
  <c r="W499" i="3" a="1"/>
  <c r="W499" i="3"/>
  <c r="W500" i="3" a="1"/>
  <c r="W500" i="3" s="1"/>
  <c r="W501" i="3" a="1"/>
  <c r="W501" i="3" s="1"/>
  <c r="W2" i="3" a="1"/>
  <c r="W2" i="3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2" i="3"/>
  <c r="U501" i="3"/>
  <c r="T501" i="3"/>
  <c r="S501" i="3" a="1"/>
  <c r="S501" i="3" s="1"/>
  <c r="R501" i="3"/>
  <c r="P501" i="3"/>
  <c r="Q501" i="3" s="1"/>
  <c r="U500" i="3"/>
  <c r="T500" i="3"/>
  <c r="S500" i="3" a="1"/>
  <c r="S500" i="3" s="1"/>
  <c r="R500" i="3"/>
  <c r="P500" i="3"/>
  <c r="Q500" i="3" s="1"/>
  <c r="U499" i="3"/>
  <c r="T499" i="3"/>
  <c r="S499" i="3" a="1"/>
  <c r="S499" i="3" s="1"/>
  <c r="R499" i="3"/>
  <c r="P499" i="3"/>
  <c r="Q499" i="3" s="1"/>
  <c r="U498" i="3"/>
  <c r="T498" i="3"/>
  <c r="S498" i="3"/>
  <c r="S498" i="3" a="1"/>
  <c r="R498" i="3"/>
  <c r="P498" i="3"/>
  <c r="Q498" i="3" s="1"/>
  <c r="U497" i="3"/>
  <c r="T497" i="3"/>
  <c r="S497" i="3" a="1"/>
  <c r="S497" i="3" s="1"/>
  <c r="R497" i="3"/>
  <c r="P497" i="3"/>
  <c r="Q497" i="3" s="1"/>
  <c r="U496" i="3"/>
  <c r="T496" i="3"/>
  <c r="S496" i="3"/>
  <c r="S496" i="3" a="1"/>
  <c r="R496" i="3"/>
  <c r="Q496" i="3"/>
  <c r="P496" i="3"/>
  <c r="U495" i="3"/>
  <c r="T495" i="3"/>
  <c r="S495" i="3" a="1"/>
  <c r="S495" i="3" s="1"/>
  <c r="R495" i="3"/>
  <c r="Q495" i="3"/>
  <c r="P495" i="3"/>
  <c r="U494" i="3"/>
  <c r="T494" i="3"/>
  <c r="S494" i="3"/>
  <c r="S494" i="3" a="1"/>
  <c r="R494" i="3"/>
  <c r="P494" i="3"/>
  <c r="Q494" i="3" s="1"/>
  <c r="U493" i="3"/>
  <c r="T493" i="3"/>
  <c r="S493" i="3" a="1"/>
  <c r="S493" i="3" s="1"/>
  <c r="R493" i="3"/>
  <c r="Q493" i="3"/>
  <c r="P493" i="3"/>
  <c r="U492" i="3"/>
  <c r="T492" i="3"/>
  <c r="S492" i="3"/>
  <c r="S492" i="3" a="1"/>
  <c r="R492" i="3"/>
  <c r="P492" i="3"/>
  <c r="Q492" i="3" s="1"/>
  <c r="U491" i="3"/>
  <c r="T491" i="3"/>
  <c r="S491" i="3" a="1"/>
  <c r="S491" i="3" s="1"/>
  <c r="R491" i="3"/>
  <c r="Q491" i="3"/>
  <c r="P491" i="3"/>
  <c r="U490" i="3"/>
  <c r="T490" i="3"/>
  <c r="S490" i="3" a="1"/>
  <c r="S490" i="3" s="1"/>
  <c r="R490" i="3"/>
  <c r="Q490" i="3"/>
  <c r="P490" i="3"/>
  <c r="U489" i="3"/>
  <c r="T489" i="3"/>
  <c r="S489" i="3" a="1"/>
  <c r="S489" i="3" s="1"/>
  <c r="R489" i="3"/>
  <c r="P489" i="3"/>
  <c r="Q489" i="3" s="1"/>
  <c r="U488" i="3"/>
  <c r="T488" i="3"/>
  <c r="S488" i="3"/>
  <c r="S488" i="3" a="1"/>
  <c r="R488" i="3"/>
  <c r="P488" i="3"/>
  <c r="Q488" i="3" s="1"/>
  <c r="U487" i="3"/>
  <c r="T487" i="3"/>
  <c r="S487" i="3" a="1"/>
  <c r="S487" i="3" s="1"/>
  <c r="R487" i="3"/>
  <c r="P487" i="3"/>
  <c r="Q487" i="3" s="1"/>
  <c r="U486" i="3"/>
  <c r="T486" i="3"/>
  <c r="S486" i="3"/>
  <c r="S486" i="3" a="1"/>
  <c r="R486" i="3"/>
  <c r="P486" i="3"/>
  <c r="Q486" i="3" s="1"/>
  <c r="U485" i="3"/>
  <c r="T485" i="3"/>
  <c r="S485" i="3" a="1"/>
  <c r="S485" i="3" s="1"/>
  <c r="R485" i="3"/>
  <c r="Q485" i="3"/>
  <c r="P485" i="3"/>
  <c r="U484" i="3"/>
  <c r="T484" i="3"/>
  <c r="S484" i="3" a="1"/>
  <c r="S484" i="3" s="1"/>
  <c r="R484" i="3"/>
  <c r="P484" i="3"/>
  <c r="Q484" i="3" s="1"/>
  <c r="U483" i="3"/>
  <c r="T483" i="3"/>
  <c r="S483" i="3" a="1"/>
  <c r="S483" i="3" s="1"/>
  <c r="R483" i="3"/>
  <c r="Q483" i="3"/>
  <c r="P483" i="3"/>
  <c r="U482" i="3"/>
  <c r="T482" i="3"/>
  <c r="S482" i="3" a="1"/>
  <c r="S482" i="3" s="1"/>
  <c r="R482" i="3"/>
  <c r="P482" i="3"/>
  <c r="Q482" i="3" s="1"/>
  <c r="U481" i="3"/>
  <c r="T481" i="3"/>
  <c r="S481" i="3" a="1"/>
  <c r="S481" i="3" s="1"/>
  <c r="R481" i="3"/>
  <c r="Q481" i="3"/>
  <c r="P481" i="3"/>
  <c r="U480" i="3"/>
  <c r="T480" i="3"/>
  <c r="S480" i="3"/>
  <c r="S480" i="3" a="1"/>
  <c r="R480" i="3"/>
  <c r="Q480" i="3"/>
  <c r="P480" i="3"/>
  <c r="U479" i="3"/>
  <c r="T479" i="3"/>
  <c r="S479" i="3" a="1"/>
  <c r="S479" i="3" s="1"/>
  <c r="R479" i="3"/>
  <c r="Q479" i="3"/>
  <c r="P479" i="3"/>
  <c r="U478" i="3"/>
  <c r="T478" i="3"/>
  <c r="S478" i="3"/>
  <c r="S478" i="3" a="1"/>
  <c r="R478" i="3"/>
  <c r="P478" i="3"/>
  <c r="Q478" i="3" s="1"/>
  <c r="U477" i="3"/>
  <c r="T477" i="3"/>
  <c r="S477" i="3" a="1"/>
  <c r="S477" i="3" s="1"/>
  <c r="R477" i="3"/>
  <c r="Q477" i="3"/>
  <c r="P477" i="3"/>
  <c r="U476" i="3"/>
  <c r="T476" i="3"/>
  <c r="S476" i="3"/>
  <c r="S476" i="3" a="1"/>
  <c r="R476" i="3"/>
  <c r="P476" i="3"/>
  <c r="Q476" i="3" s="1"/>
  <c r="U475" i="3"/>
  <c r="T475" i="3"/>
  <c r="S475" i="3" a="1"/>
  <c r="S475" i="3" s="1"/>
  <c r="R475" i="3"/>
  <c r="Q475" i="3"/>
  <c r="P475" i="3"/>
  <c r="U474" i="3"/>
  <c r="T474" i="3"/>
  <c r="S474" i="3" a="1"/>
  <c r="S474" i="3" s="1"/>
  <c r="R474" i="3"/>
  <c r="Q474" i="3"/>
  <c r="P474" i="3"/>
  <c r="U473" i="3"/>
  <c r="T473" i="3"/>
  <c r="S473" i="3" a="1"/>
  <c r="S473" i="3" s="1"/>
  <c r="R473" i="3"/>
  <c r="P473" i="3"/>
  <c r="Q473" i="3" s="1"/>
  <c r="U472" i="3"/>
  <c r="T472" i="3"/>
  <c r="S472" i="3"/>
  <c r="S472" i="3" a="1"/>
  <c r="R472" i="3"/>
  <c r="P472" i="3"/>
  <c r="Q472" i="3" s="1"/>
  <c r="U471" i="3"/>
  <c r="T471" i="3"/>
  <c r="S471" i="3" a="1"/>
  <c r="S471" i="3" s="1"/>
  <c r="R471" i="3"/>
  <c r="P471" i="3"/>
  <c r="Q471" i="3" s="1"/>
  <c r="U470" i="3"/>
  <c r="T470" i="3"/>
  <c r="S470" i="3"/>
  <c r="S470" i="3" a="1"/>
  <c r="R470" i="3"/>
  <c r="P470" i="3"/>
  <c r="Q470" i="3" s="1"/>
  <c r="U469" i="3"/>
  <c r="T469" i="3"/>
  <c r="S469" i="3" a="1"/>
  <c r="S469" i="3" s="1"/>
  <c r="R469" i="3"/>
  <c r="Q469" i="3"/>
  <c r="P469" i="3"/>
  <c r="U468" i="3"/>
  <c r="T468" i="3"/>
  <c r="S468" i="3" a="1"/>
  <c r="S468" i="3" s="1"/>
  <c r="R468" i="3"/>
  <c r="P468" i="3"/>
  <c r="Q468" i="3" s="1"/>
  <c r="U467" i="3"/>
  <c r="T467" i="3"/>
  <c r="S467" i="3"/>
  <c r="S467" i="3" a="1"/>
  <c r="R467" i="3"/>
  <c r="Q467" i="3"/>
  <c r="P467" i="3"/>
  <c r="U466" i="3"/>
  <c r="T466" i="3"/>
  <c r="S466" i="3" a="1"/>
  <c r="S466" i="3" s="1"/>
  <c r="R466" i="3"/>
  <c r="P466" i="3"/>
  <c r="Q466" i="3" s="1"/>
  <c r="U465" i="3"/>
  <c r="T465" i="3"/>
  <c r="S465" i="3" a="1"/>
  <c r="S465" i="3" s="1"/>
  <c r="R465" i="3"/>
  <c r="Q465" i="3"/>
  <c r="P465" i="3"/>
  <c r="U464" i="3"/>
  <c r="T464" i="3"/>
  <c r="S464" i="3"/>
  <c r="S464" i="3" a="1"/>
  <c r="R464" i="3"/>
  <c r="Q464" i="3"/>
  <c r="P464" i="3"/>
  <c r="U463" i="3"/>
  <c r="T463" i="3"/>
  <c r="S463" i="3" a="1"/>
  <c r="S463" i="3" s="1"/>
  <c r="R463" i="3"/>
  <c r="Q463" i="3"/>
  <c r="P463" i="3"/>
  <c r="U462" i="3"/>
  <c r="T462" i="3"/>
  <c r="S462" i="3"/>
  <c r="S462" i="3" a="1"/>
  <c r="R462" i="3"/>
  <c r="P462" i="3"/>
  <c r="Q462" i="3" s="1"/>
  <c r="U461" i="3"/>
  <c r="T461" i="3"/>
  <c r="S461" i="3" a="1"/>
  <c r="S461" i="3" s="1"/>
  <c r="R461" i="3"/>
  <c r="Q461" i="3"/>
  <c r="P461" i="3"/>
  <c r="U460" i="3"/>
  <c r="T460" i="3"/>
  <c r="S460" i="3"/>
  <c r="S460" i="3" a="1"/>
  <c r="R460" i="3"/>
  <c r="P460" i="3"/>
  <c r="Q460" i="3" s="1"/>
  <c r="U459" i="3"/>
  <c r="T459" i="3"/>
  <c r="S459" i="3" a="1"/>
  <c r="S459" i="3" s="1"/>
  <c r="R459" i="3"/>
  <c r="Q459" i="3"/>
  <c r="P459" i="3"/>
  <c r="U458" i="3"/>
  <c r="T458" i="3"/>
  <c r="S458" i="3"/>
  <c r="S458" i="3" a="1"/>
  <c r="R458" i="3"/>
  <c r="Q458" i="3"/>
  <c r="P458" i="3"/>
  <c r="U457" i="3"/>
  <c r="T457" i="3"/>
  <c r="S457" i="3" a="1"/>
  <c r="S457" i="3" s="1"/>
  <c r="R457" i="3"/>
  <c r="P457" i="3"/>
  <c r="Q457" i="3" s="1"/>
  <c r="U456" i="3"/>
  <c r="T456" i="3"/>
  <c r="S456" i="3"/>
  <c r="S456" i="3" a="1"/>
  <c r="R456" i="3"/>
  <c r="Q456" i="3"/>
  <c r="P456" i="3"/>
  <c r="U455" i="3"/>
  <c r="T455" i="3"/>
  <c r="S455" i="3" a="1"/>
  <c r="S455" i="3" s="1"/>
  <c r="R455" i="3"/>
  <c r="P455" i="3"/>
  <c r="Q455" i="3" s="1"/>
  <c r="U454" i="3"/>
  <c r="T454" i="3"/>
  <c r="S454" i="3"/>
  <c r="S454" i="3" a="1"/>
  <c r="R454" i="3"/>
  <c r="P454" i="3"/>
  <c r="Q454" i="3" s="1"/>
  <c r="U453" i="3"/>
  <c r="T453" i="3"/>
  <c r="S453" i="3" a="1"/>
  <c r="S453" i="3" s="1"/>
  <c r="R453" i="3"/>
  <c r="Q453" i="3"/>
  <c r="P453" i="3"/>
  <c r="U452" i="3"/>
  <c r="T452" i="3"/>
  <c r="S452" i="3" a="1"/>
  <c r="S452" i="3" s="1"/>
  <c r="R452" i="3"/>
  <c r="P452" i="3"/>
  <c r="Q452" i="3" s="1"/>
  <c r="U451" i="3"/>
  <c r="T451" i="3"/>
  <c r="S451" i="3"/>
  <c r="S451" i="3" a="1"/>
  <c r="R451" i="3"/>
  <c r="Q451" i="3"/>
  <c r="P451" i="3"/>
  <c r="U450" i="3"/>
  <c r="T450" i="3"/>
  <c r="S450" i="3" a="1"/>
  <c r="S450" i="3" s="1"/>
  <c r="R450" i="3"/>
  <c r="P450" i="3"/>
  <c r="Q450" i="3" s="1"/>
  <c r="U449" i="3"/>
  <c r="T449" i="3"/>
  <c r="S449" i="3" a="1"/>
  <c r="S449" i="3" s="1"/>
  <c r="R449" i="3"/>
  <c r="Q449" i="3"/>
  <c r="P449" i="3"/>
  <c r="U448" i="3"/>
  <c r="T448" i="3"/>
  <c r="S448" i="3"/>
  <c r="S448" i="3" a="1"/>
  <c r="R448" i="3"/>
  <c r="P448" i="3"/>
  <c r="Q448" i="3" s="1"/>
  <c r="U447" i="3"/>
  <c r="T447" i="3"/>
  <c r="S447" i="3" a="1"/>
  <c r="S447" i="3" s="1"/>
  <c r="R447" i="3"/>
  <c r="Q447" i="3"/>
  <c r="P447" i="3"/>
  <c r="U446" i="3"/>
  <c r="T446" i="3"/>
  <c r="S446" i="3"/>
  <c r="S446" i="3" a="1"/>
  <c r="R446" i="3"/>
  <c r="P446" i="3"/>
  <c r="Q446" i="3" s="1"/>
  <c r="U445" i="3"/>
  <c r="T445" i="3"/>
  <c r="S445" i="3" a="1"/>
  <c r="S445" i="3" s="1"/>
  <c r="R445" i="3"/>
  <c r="Q445" i="3"/>
  <c r="P445" i="3"/>
  <c r="U444" i="3"/>
  <c r="T444" i="3"/>
  <c r="S444" i="3"/>
  <c r="S444" i="3" a="1"/>
  <c r="R444" i="3"/>
  <c r="P444" i="3"/>
  <c r="Q444" i="3" s="1"/>
  <c r="U443" i="3"/>
  <c r="T443" i="3"/>
  <c r="S443" i="3" a="1"/>
  <c r="S443" i="3" s="1"/>
  <c r="R443" i="3"/>
  <c r="Q443" i="3"/>
  <c r="P443" i="3"/>
  <c r="U442" i="3"/>
  <c r="T442" i="3"/>
  <c r="S442" i="3" a="1"/>
  <c r="S442" i="3" s="1"/>
  <c r="R442" i="3"/>
  <c r="Q442" i="3"/>
  <c r="P442" i="3"/>
  <c r="U441" i="3"/>
  <c r="T441" i="3"/>
  <c r="S441" i="3" a="1"/>
  <c r="S441" i="3" s="1"/>
  <c r="R441" i="3"/>
  <c r="P441" i="3"/>
  <c r="Q441" i="3" s="1"/>
  <c r="U440" i="3"/>
  <c r="T440" i="3"/>
  <c r="S440" i="3"/>
  <c r="S440" i="3" a="1"/>
  <c r="R440" i="3"/>
  <c r="P440" i="3"/>
  <c r="Q440" i="3" s="1"/>
  <c r="U439" i="3"/>
  <c r="T439" i="3"/>
  <c r="S439" i="3" a="1"/>
  <c r="S439" i="3" s="1"/>
  <c r="R439" i="3"/>
  <c r="P439" i="3"/>
  <c r="Q439" i="3" s="1"/>
  <c r="U438" i="3"/>
  <c r="T438" i="3"/>
  <c r="S438" i="3"/>
  <c r="S438" i="3" a="1"/>
  <c r="R438" i="3"/>
  <c r="P438" i="3"/>
  <c r="Q438" i="3" s="1"/>
  <c r="U437" i="3"/>
  <c r="T437" i="3"/>
  <c r="S437" i="3" a="1"/>
  <c r="S437" i="3" s="1"/>
  <c r="R437" i="3"/>
  <c r="Q437" i="3"/>
  <c r="P437" i="3"/>
  <c r="U436" i="3"/>
  <c r="T436" i="3"/>
  <c r="S436" i="3" a="1"/>
  <c r="S436" i="3" s="1"/>
  <c r="R436" i="3"/>
  <c r="P436" i="3"/>
  <c r="Q436" i="3" s="1"/>
  <c r="U435" i="3"/>
  <c r="T435" i="3"/>
  <c r="S435" i="3"/>
  <c r="S435" i="3" a="1"/>
  <c r="R435" i="3"/>
  <c r="Q435" i="3"/>
  <c r="P435" i="3"/>
  <c r="U434" i="3"/>
  <c r="T434" i="3"/>
  <c r="S434" i="3" a="1"/>
  <c r="S434" i="3" s="1"/>
  <c r="R434" i="3"/>
  <c r="P434" i="3"/>
  <c r="Q434" i="3" s="1"/>
  <c r="U433" i="3"/>
  <c r="T433" i="3"/>
  <c r="S433" i="3" a="1"/>
  <c r="S433" i="3" s="1"/>
  <c r="R433" i="3"/>
  <c r="Q433" i="3"/>
  <c r="P433" i="3"/>
  <c r="U432" i="3"/>
  <c r="T432" i="3"/>
  <c r="S432" i="3"/>
  <c r="S432" i="3" a="1"/>
  <c r="R432" i="3"/>
  <c r="Q432" i="3"/>
  <c r="P432" i="3"/>
  <c r="U431" i="3"/>
  <c r="T431" i="3"/>
  <c r="S431" i="3" a="1"/>
  <c r="S431" i="3" s="1"/>
  <c r="R431" i="3"/>
  <c r="Q431" i="3"/>
  <c r="P431" i="3"/>
  <c r="U430" i="3"/>
  <c r="T430" i="3"/>
  <c r="S430" i="3"/>
  <c r="S430" i="3" a="1"/>
  <c r="R430" i="3"/>
  <c r="P430" i="3"/>
  <c r="Q430" i="3" s="1"/>
  <c r="U429" i="3"/>
  <c r="T429" i="3"/>
  <c r="S429" i="3" a="1"/>
  <c r="S429" i="3" s="1"/>
  <c r="R429" i="3"/>
  <c r="Q429" i="3"/>
  <c r="P429" i="3"/>
  <c r="U428" i="3"/>
  <c r="T428" i="3"/>
  <c r="S428" i="3"/>
  <c r="S428" i="3" a="1"/>
  <c r="R428" i="3"/>
  <c r="P428" i="3"/>
  <c r="Q428" i="3" s="1"/>
  <c r="U427" i="3"/>
  <c r="T427" i="3"/>
  <c r="S427" i="3" a="1"/>
  <c r="S427" i="3" s="1"/>
  <c r="R427" i="3"/>
  <c r="Q427" i="3"/>
  <c r="P427" i="3"/>
  <c r="U426" i="3"/>
  <c r="T426" i="3"/>
  <c r="S426" i="3" a="1"/>
  <c r="S426" i="3" s="1"/>
  <c r="R426" i="3"/>
  <c r="Q426" i="3"/>
  <c r="P426" i="3"/>
  <c r="U425" i="3"/>
  <c r="T425" i="3"/>
  <c r="S425" i="3" a="1"/>
  <c r="S425" i="3" s="1"/>
  <c r="R425" i="3"/>
  <c r="P425" i="3"/>
  <c r="Q425" i="3" s="1"/>
  <c r="U424" i="3"/>
  <c r="T424" i="3"/>
  <c r="S424" i="3"/>
  <c r="S424" i="3" a="1"/>
  <c r="R424" i="3"/>
  <c r="P424" i="3"/>
  <c r="Q424" i="3" s="1"/>
  <c r="U423" i="3"/>
  <c r="T423" i="3"/>
  <c r="S423" i="3" a="1"/>
  <c r="S423" i="3" s="1"/>
  <c r="R423" i="3"/>
  <c r="P423" i="3"/>
  <c r="Q423" i="3" s="1"/>
  <c r="U422" i="3"/>
  <c r="T422" i="3"/>
  <c r="S422" i="3"/>
  <c r="S422" i="3" a="1"/>
  <c r="R422" i="3"/>
  <c r="P422" i="3"/>
  <c r="Q422" i="3" s="1"/>
  <c r="U421" i="3"/>
  <c r="T421" i="3"/>
  <c r="S421" i="3" a="1"/>
  <c r="S421" i="3" s="1"/>
  <c r="R421" i="3"/>
  <c r="Q421" i="3"/>
  <c r="P421" i="3"/>
  <c r="U420" i="3"/>
  <c r="T420" i="3"/>
  <c r="S420" i="3" a="1"/>
  <c r="S420" i="3" s="1"/>
  <c r="R420" i="3"/>
  <c r="P420" i="3"/>
  <c r="Q420" i="3" s="1"/>
  <c r="U419" i="3"/>
  <c r="T419" i="3"/>
  <c r="S419" i="3"/>
  <c r="S419" i="3" a="1"/>
  <c r="R419" i="3"/>
  <c r="Q419" i="3"/>
  <c r="P419" i="3"/>
  <c r="U418" i="3"/>
  <c r="T418" i="3"/>
  <c r="S418" i="3"/>
  <c r="S418" i="3" a="1"/>
  <c r="R418" i="3"/>
  <c r="P418" i="3"/>
  <c r="Q418" i="3" s="1"/>
  <c r="U417" i="3"/>
  <c r="T417" i="3"/>
  <c r="S417" i="3" a="1"/>
  <c r="S417" i="3" s="1"/>
  <c r="R417" i="3"/>
  <c r="Q417" i="3"/>
  <c r="P417" i="3"/>
  <c r="U416" i="3"/>
  <c r="T416" i="3"/>
  <c r="S416" i="3"/>
  <c r="S416" i="3" a="1"/>
  <c r="R416" i="3"/>
  <c r="Q416" i="3"/>
  <c r="P416" i="3"/>
  <c r="U415" i="3"/>
  <c r="T415" i="3"/>
  <c r="S415" i="3" a="1"/>
  <c r="S415" i="3" s="1"/>
  <c r="R415" i="3"/>
  <c r="Q415" i="3"/>
  <c r="P415" i="3"/>
  <c r="U414" i="3"/>
  <c r="T414" i="3"/>
  <c r="S414" i="3"/>
  <c r="S414" i="3" a="1"/>
  <c r="R414" i="3"/>
  <c r="P414" i="3"/>
  <c r="Q414" i="3" s="1"/>
  <c r="U413" i="3"/>
  <c r="T413" i="3"/>
  <c r="S413" i="3" a="1"/>
  <c r="S413" i="3" s="1"/>
  <c r="R413" i="3"/>
  <c r="Q413" i="3"/>
  <c r="P413" i="3"/>
  <c r="U412" i="3"/>
  <c r="T412" i="3"/>
  <c r="S412" i="3"/>
  <c r="S412" i="3" a="1"/>
  <c r="R412" i="3"/>
  <c r="P412" i="3"/>
  <c r="Q412" i="3" s="1"/>
  <c r="U411" i="3"/>
  <c r="T411" i="3"/>
  <c r="S411" i="3" a="1"/>
  <c r="S411" i="3" s="1"/>
  <c r="R411" i="3"/>
  <c r="Q411" i="3"/>
  <c r="P411" i="3"/>
  <c r="U410" i="3"/>
  <c r="T410" i="3"/>
  <c r="S410" i="3" a="1"/>
  <c r="S410" i="3" s="1"/>
  <c r="R410" i="3"/>
  <c r="Q410" i="3"/>
  <c r="P410" i="3"/>
  <c r="U409" i="3"/>
  <c r="T409" i="3"/>
  <c r="S409" i="3" a="1"/>
  <c r="S409" i="3" s="1"/>
  <c r="R409" i="3"/>
  <c r="P409" i="3"/>
  <c r="Q409" i="3" s="1"/>
  <c r="U408" i="3"/>
  <c r="T408" i="3"/>
  <c r="S408" i="3"/>
  <c r="S408" i="3" a="1"/>
  <c r="R408" i="3"/>
  <c r="P408" i="3"/>
  <c r="Q408" i="3" s="1"/>
  <c r="U407" i="3"/>
  <c r="T407" i="3"/>
  <c r="S407" i="3" a="1"/>
  <c r="S407" i="3" s="1"/>
  <c r="R407" i="3"/>
  <c r="P407" i="3"/>
  <c r="Q407" i="3" s="1"/>
  <c r="U406" i="3"/>
  <c r="T406" i="3"/>
  <c r="S406" i="3"/>
  <c r="S406" i="3" a="1"/>
  <c r="R406" i="3"/>
  <c r="P406" i="3"/>
  <c r="Q406" i="3" s="1"/>
  <c r="U405" i="3"/>
  <c r="T405" i="3"/>
  <c r="S405" i="3"/>
  <c r="S405" i="3" a="1"/>
  <c r="R405" i="3"/>
  <c r="Q405" i="3"/>
  <c r="P405" i="3"/>
  <c r="U404" i="3"/>
  <c r="T404" i="3"/>
  <c r="S404" i="3" a="1"/>
  <c r="S404" i="3" s="1"/>
  <c r="R404" i="3"/>
  <c r="P404" i="3"/>
  <c r="Q404" i="3" s="1"/>
  <c r="U403" i="3"/>
  <c r="T403" i="3"/>
  <c r="S403" i="3"/>
  <c r="S403" i="3" a="1"/>
  <c r="R403" i="3"/>
  <c r="Q403" i="3"/>
  <c r="P403" i="3"/>
  <c r="U402" i="3"/>
  <c r="T402" i="3"/>
  <c r="S402" i="3"/>
  <c r="S402" i="3" a="1"/>
  <c r="R402" i="3"/>
  <c r="P402" i="3"/>
  <c r="Q402" i="3" s="1"/>
  <c r="U401" i="3"/>
  <c r="T401" i="3"/>
  <c r="S401" i="3" a="1"/>
  <c r="S401" i="3" s="1"/>
  <c r="R401" i="3"/>
  <c r="Q401" i="3"/>
  <c r="P401" i="3"/>
  <c r="U400" i="3"/>
  <c r="T400" i="3"/>
  <c r="S400" i="3"/>
  <c r="S400" i="3" a="1"/>
  <c r="R400" i="3"/>
  <c r="Q400" i="3"/>
  <c r="P400" i="3"/>
  <c r="U399" i="3"/>
  <c r="T399" i="3"/>
  <c r="S399" i="3" a="1"/>
  <c r="S399" i="3" s="1"/>
  <c r="R399" i="3"/>
  <c r="Q399" i="3"/>
  <c r="P399" i="3"/>
  <c r="U398" i="3"/>
  <c r="T398" i="3"/>
  <c r="S398" i="3"/>
  <c r="S398" i="3" a="1"/>
  <c r="R398" i="3"/>
  <c r="P398" i="3"/>
  <c r="Q398" i="3" s="1"/>
  <c r="U397" i="3"/>
  <c r="T397" i="3"/>
  <c r="S397" i="3"/>
  <c r="S397" i="3" a="1"/>
  <c r="R397" i="3"/>
  <c r="Q397" i="3"/>
  <c r="P397" i="3"/>
  <c r="U396" i="3"/>
  <c r="T396" i="3"/>
  <c r="S396" i="3"/>
  <c r="S396" i="3" a="1"/>
  <c r="R396" i="3"/>
  <c r="P396" i="3"/>
  <c r="Q396" i="3" s="1"/>
  <c r="U395" i="3"/>
  <c r="T395" i="3"/>
  <c r="S395" i="3" a="1"/>
  <c r="S395" i="3" s="1"/>
  <c r="R395" i="3"/>
  <c r="Q395" i="3"/>
  <c r="P395" i="3"/>
  <c r="U394" i="3"/>
  <c r="T394" i="3"/>
  <c r="S394" i="3" a="1"/>
  <c r="S394" i="3" s="1"/>
  <c r="R394" i="3"/>
  <c r="Q394" i="3"/>
  <c r="P394" i="3"/>
  <c r="U393" i="3"/>
  <c r="T393" i="3"/>
  <c r="S393" i="3" a="1"/>
  <c r="S393" i="3" s="1"/>
  <c r="R393" i="3"/>
  <c r="P393" i="3"/>
  <c r="Q393" i="3" s="1"/>
  <c r="U392" i="3"/>
  <c r="T392" i="3"/>
  <c r="S392" i="3"/>
  <c r="S392" i="3" a="1"/>
  <c r="R392" i="3"/>
  <c r="P392" i="3"/>
  <c r="Q392" i="3" s="1"/>
  <c r="U391" i="3"/>
  <c r="T391" i="3"/>
  <c r="S391" i="3" a="1"/>
  <c r="S391" i="3" s="1"/>
  <c r="R391" i="3"/>
  <c r="P391" i="3"/>
  <c r="Q391" i="3" s="1"/>
  <c r="U390" i="3"/>
  <c r="T390" i="3"/>
  <c r="S390" i="3"/>
  <c r="S390" i="3" a="1"/>
  <c r="R390" i="3"/>
  <c r="P390" i="3"/>
  <c r="Q390" i="3" s="1"/>
  <c r="U389" i="3"/>
  <c r="T389" i="3"/>
  <c r="S389" i="3" a="1"/>
  <c r="S389" i="3" s="1"/>
  <c r="R389" i="3"/>
  <c r="Q389" i="3"/>
  <c r="P389" i="3"/>
  <c r="U388" i="3"/>
  <c r="T388" i="3"/>
  <c r="S388" i="3" a="1"/>
  <c r="S388" i="3" s="1"/>
  <c r="R388" i="3"/>
  <c r="P388" i="3"/>
  <c r="Q388" i="3" s="1"/>
  <c r="U387" i="3"/>
  <c r="T387" i="3"/>
  <c r="S387" i="3"/>
  <c r="S387" i="3" a="1"/>
  <c r="R387" i="3"/>
  <c r="Q387" i="3"/>
  <c r="P387" i="3"/>
  <c r="U386" i="3"/>
  <c r="T386" i="3"/>
  <c r="S386" i="3"/>
  <c r="S386" i="3" a="1"/>
  <c r="R386" i="3"/>
  <c r="P386" i="3"/>
  <c r="Q386" i="3" s="1"/>
  <c r="U385" i="3"/>
  <c r="T385" i="3"/>
  <c r="S385" i="3" a="1"/>
  <c r="S385" i="3" s="1"/>
  <c r="R385" i="3"/>
  <c r="Q385" i="3"/>
  <c r="P385" i="3"/>
  <c r="U384" i="3"/>
  <c r="T384" i="3"/>
  <c r="S384" i="3"/>
  <c r="S384" i="3" a="1"/>
  <c r="R384" i="3"/>
  <c r="Q384" i="3"/>
  <c r="P384" i="3"/>
  <c r="U383" i="3"/>
  <c r="T383" i="3"/>
  <c r="S383" i="3" a="1"/>
  <c r="S383" i="3" s="1"/>
  <c r="R383" i="3"/>
  <c r="Q383" i="3"/>
  <c r="P383" i="3"/>
  <c r="U382" i="3"/>
  <c r="T382" i="3"/>
  <c r="S382" i="3"/>
  <c r="S382" i="3" a="1"/>
  <c r="R382" i="3"/>
  <c r="P382" i="3"/>
  <c r="Q382" i="3" s="1"/>
  <c r="U381" i="3"/>
  <c r="T381" i="3"/>
  <c r="S381" i="3"/>
  <c r="S381" i="3" a="1"/>
  <c r="R381" i="3"/>
  <c r="Q381" i="3"/>
  <c r="P381" i="3"/>
  <c r="U380" i="3"/>
  <c r="T380" i="3"/>
  <c r="S380" i="3"/>
  <c r="S380" i="3" a="1"/>
  <c r="R380" i="3"/>
  <c r="P380" i="3"/>
  <c r="Q380" i="3" s="1"/>
  <c r="U379" i="3"/>
  <c r="T379" i="3"/>
  <c r="S379" i="3" a="1"/>
  <c r="S379" i="3" s="1"/>
  <c r="R379" i="3"/>
  <c r="Q379" i="3"/>
  <c r="P379" i="3"/>
  <c r="U378" i="3"/>
  <c r="T378" i="3"/>
  <c r="S378" i="3" a="1"/>
  <c r="S378" i="3" s="1"/>
  <c r="R378" i="3"/>
  <c r="Q378" i="3"/>
  <c r="P378" i="3"/>
  <c r="U377" i="3"/>
  <c r="T377" i="3"/>
  <c r="S377" i="3" a="1"/>
  <c r="S377" i="3" s="1"/>
  <c r="R377" i="3"/>
  <c r="P377" i="3"/>
  <c r="Q377" i="3" s="1"/>
  <c r="U376" i="3"/>
  <c r="T376" i="3"/>
  <c r="S376" i="3"/>
  <c r="S376" i="3" a="1"/>
  <c r="R376" i="3"/>
  <c r="P376" i="3"/>
  <c r="Q376" i="3" s="1"/>
  <c r="U375" i="3"/>
  <c r="T375" i="3"/>
  <c r="S375" i="3" a="1"/>
  <c r="S375" i="3" s="1"/>
  <c r="R375" i="3"/>
  <c r="P375" i="3"/>
  <c r="Q375" i="3" s="1"/>
  <c r="U374" i="3"/>
  <c r="T374" i="3"/>
  <c r="S374" i="3"/>
  <c r="S374" i="3" a="1"/>
  <c r="R374" i="3"/>
  <c r="P374" i="3"/>
  <c r="Q374" i="3" s="1"/>
  <c r="U373" i="3"/>
  <c r="T373" i="3"/>
  <c r="S373" i="3" a="1"/>
  <c r="S373" i="3" s="1"/>
  <c r="R373" i="3"/>
  <c r="Q373" i="3"/>
  <c r="P373" i="3"/>
  <c r="U372" i="3"/>
  <c r="T372" i="3"/>
  <c r="S372" i="3" a="1"/>
  <c r="S372" i="3" s="1"/>
  <c r="R372" i="3"/>
  <c r="P372" i="3"/>
  <c r="Q372" i="3" s="1"/>
  <c r="U371" i="3"/>
  <c r="T371" i="3"/>
  <c r="S371" i="3"/>
  <c r="S371" i="3" a="1"/>
  <c r="R371" i="3"/>
  <c r="Q371" i="3"/>
  <c r="P371" i="3"/>
  <c r="U370" i="3"/>
  <c r="T370" i="3"/>
  <c r="S370" i="3"/>
  <c r="S370" i="3" a="1"/>
  <c r="R370" i="3"/>
  <c r="P370" i="3"/>
  <c r="Q370" i="3" s="1"/>
  <c r="U369" i="3"/>
  <c r="T369" i="3"/>
  <c r="S369" i="3" a="1"/>
  <c r="S369" i="3" s="1"/>
  <c r="R369" i="3"/>
  <c r="Q369" i="3"/>
  <c r="P369" i="3"/>
  <c r="U368" i="3"/>
  <c r="T368" i="3"/>
  <c r="S368" i="3"/>
  <c r="S368" i="3" a="1"/>
  <c r="R368" i="3"/>
  <c r="Q368" i="3"/>
  <c r="P368" i="3"/>
  <c r="U367" i="3"/>
  <c r="T367" i="3"/>
  <c r="S367" i="3" a="1"/>
  <c r="S367" i="3" s="1"/>
  <c r="R367" i="3"/>
  <c r="Q367" i="3"/>
  <c r="P367" i="3"/>
  <c r="U366" i="3"/>
  <c r="T366" i="3"/>
  <c r="S366" i="3"/>
  <c r="S366" i="3" a="1"/>
  <c r="R366" i="3"/>
  <c r="P366" i="3"/>
  <c r="Q366" i="3" s="1"/>
  <c r="U365" i="3"/>
  <c r="T365" i="3"/>
  <c r="S365" i="3"/>
  <c r="S365" i="3" a="1"/>
  <c r="R365" i="3"/>
  <c r="Q365" i="3"/>
  <c r="P365" i="3"/>
  <c r="U364" i="3"/>
  <c r="T364" i="3"/>
  <c r="S364" i="3"/>
  <c r="S364" i="3" a="1"/>
  <c r="R364" i="3"/>
  <c r="P364" i="3"/>
  <c r="Q364" i="3" s="1"/>
  <c r="U363" i="3"/>
  <c r="T363" i="3"/>
  <c r="S363" i="3" a="1"/>
  <c r="S363" i="3" s="1"/>
  <c r="R363" i="3"/>
  <c r="Q363" i="3"/>
  <c r="P363" i="3"/>
  <c r="U362" i="3"/>
  <c r="T362" i="3"/>
  <c r="S362" i="3"/>
  <c r="S362" i="3" a="1"/>
  <c r="R362" i="3"/>
  <c r="Q362" i="3"/>
  <c r="P362" i="3"/>
  <c r="U361" i="3"/>
  <c r="T361" i="3"/>
  <c r="S361" i="3" a="1"/>
  <c r="S361" i="3" s="1"/>
  <c r="R361" i="3"/>
  <c r="P361" i="3"/>
  <c r="Q361" i="3" s="1"/>
  <c r="U360" i="3"/>
  <c r="T360" i="3"/>
  <c r="S360" i="3"/>
  <c r="S360" i="3" a="1"/>
  <c r="R360" i="3"/>
  <c r="Q360" i="3"/>
  <c r="P360" i="3"/>
  <c r="U359" i="3"/>
  <c r="T359" i="3"/>
  <c r="S359" i="3" a="1"/>
  <c r="S359" i="3" s="1"/>
  <c r="R359" i="3"/>
  <c r="P359" i="3"/>
  <c r="Q359" i="3" s="1"/>
  <c r="U358" i="3"/>
  <c r="T358" i="3"/>
  <c r="S358" i="3"/>
  <c r="S358" i="3" a="1"/>
  <c r="R358" i="3"/>
  <c r="P358" i="3"/>
  <c r="Q358" i="3" s="1"/>
  <c r="U357" i="3"/>
  <c r="T357" i="3"/>
  <c r="S357" i="3" a="1"/>
  <c r="S357" i="3" s="1"/>
  <c r="R357" i="3"/>
  <c r="Q357" i="3"/>
  <c r="P357" i="3"/>
  <c r="U356" i="3"/>
  <c r="T356" i="3"/>
  <c r="S356" i="3" a="1"/>
  <c r="S356" i="3" s="1"/>
  <c r="R356" i="3"/>
  <c r="P356" i="3"/>
  <c r="Q356" i="3" s="1"/>
  <c r="U355" i="3"/>
  <c r="T355" i="3"/>
  <c r="S355" i="3"/>
  <c r="S355" i="3" a="1"/>
  <c r="R355" i="3"/>
  <c r="Q355" i="3"/>
  <c r="P355" i="3"/>
  <c r="U354" i="3"/>
  <c r="T354" i="3"/>
  <c r="S354" i="3"/>
  <c r="S354" i="3" a="1"/>
  <c r="R354" i="3"/>
  <c r="P354" i="3"/>
  <c r="Q354" i="3" s="1"/>
  <c r="U353" i="3"/>
  <c r="T353" i="3"/>
  <c r="S353" i="3" a="1"/>
  <c r="S353" i="3" s="1"/>
  <c r="R353" i="3"/>
  <c r="Q353" i="3"/>
  <c r="P353" i="3"/>
  <c r="U352" i="3"/>
  <c r="T352" i="3"/>
  <c r="S352" i="3"/>
  <c r="S352" i="3" a="1"/>
  <c r="R352" i="3"/>
  <c r="Q352" i="3"/>
  <c r="P352" i="3"/>
  <c r="U351" i="3"/>
  <c r="T351" i="3"/>
  <c r="S351" i="3" a="1"/>
  <c r="S351" i="3" s="1"/>
  <c r="R351" i="3"/>
  <c r="Q351" i="3"/>
  <c r="P351" i="3"/>
  <c r="U350" i="3"/>
  <c r="T350" i="3"/>
  <c r="S350" i="3"/>
  <c r="S350" i="3" a="1"/>
  <c r="R350" i="3"/>
  <c r="P350" i="3"/>
  <c r="Q350" i="3" s="1"/>
  <c r="U349" i="3"/>
  <c r="T349" i="3"/>
  <c r="S349" i="3"/>
  <c r="S349" i="3" a="1"/>
  <c r="R349" i="3"/>
  <c r="Q349" i="3"/>
  <c r="P349" i="3"/>
  <c r="U348" i="3"/>
  <c r="T348" i="3"/>
  <c r="S348" i="3"/>
  <c r="S348" i="3" a="1"/>
  <c r="R348" i="3"/>
  <c r="P348" i="3"/>
  <c r="Q348" i="3" s="1"/>
  <c r="U347" i="3"/>
  <c r="T347" i="3"/>
  <c r="S347" i="3" a="1"/>
  <c r="S347" i="3" s="1"/>
  <c r="R347" i="3"/>
  <c r="Q347" i="3"/>
  <c r="P347" i="3"/>
  <c r="U346" i="3"/>
  <c r="T346" i="3"/>
  <c r="S346" i="3" a="1"/>
  <c r="S346" i="3" s="1"/>
  <c r="R346" i="3"/>
  <c r="Q346" i="3"/>
  <c r="P346" i="3"/>
  <c r="U345" i="3"/>
  <c r="T345" i="3"/>
  <c r="S345" i="3" a="1"/>
  <c r="S345" i="3" s="1"/>
  <c r="R345" i="3"/>
  <c r="P345" i="3"/>
  <c r="Q345" i="3" s="1"/>
  <c r="U344" i="3"/>
  <c r="T344" i="3"/>
  <c r="S344" i="3"/>
  <c r="S344" i="3" a="1"/>
  <c r="R344" i="3"/>
  <c r="P344" i="3"/>
  <c r="Q344" i="3" s="1"/>
  <c r="U343" i="3"/>
  <c r="T343" i="3"/>
  <c r="S343" i="3" a="1"/>
  <c r="S343" i="3" s="1"/>
  <c r="R343" i="3"/>
  <c r="P343" i="3"/>
  <c r="Q343" i="3" s="1"/>
  <c r="U342" i="3"/>
  <c r="T342" i="3"/>
  <c r="S342" i="3"/>
  <c r="S342" i="3" a="1"/>
  <c r="R342" i="3"/>
  <c r="P342" i="3"/>
  <c r="Q342" i="3" s="1"/>
  <c r="U341" i="3"/>
  <c r="T341" i="3"/>
  <c r="S341" i="3" a="1"/>
  <c r="S341" i="3" s="1"/>
  <c r="R341" i="3"/>
  <c r="Q341" i="3"/>
  <c r="P341" i="3"/>
  <c r="U340" i="3"/>
  <c r="T340" i="3"/>
  <c r="S340" i="3" a="1"/>
  <c r="S340" i="3" s="1"/>
  <c r="R340" i="3"/>
  <c r="P340" i="3"/>
  <c r="Q340" i="3" s="1"/>
  <c r="U339" i="3"/>
  <c r="T339" i="3"/>
  <c r="S339" i="3"/>
  <c r="S339" i="3" a="1"/>
  <c r="R339" i="3"/>
  <c r="Q339" i="3"/>
  <c r="P339" i="3"/>
  <c r="U338" i="3"/>
  <c r="T338" i="3"/>
  <c r="S338" i="3"/>
  <c r="S338" i="3" a="1"/>
  <c r="R338" i="3"/>
  <c r="P338" i="3"/>
  <c r="Q338" i="3" s="1"/>
  <c r="U337" i="3"/>
  <c r="T337" i="3"/>
  <c r="S337" i="3" a="1"/>
  <c r="S337" i="3" s="1"/>
  <c r="R337" i="3"/>
  <c r="Q337" i="3"/>
  <c r="P337" i="3"/>
  <c r="U336" i="3"/>
  <c r="T336" i="3"/>
  <c r="S336" i="3"/>
  <c r="S336" i="3" a="1"/>
  <c r="R336" i="3"/>
  <c r="Q336" i="3"/>
  <c r="P336" i="3"/>
  <c r="U335" i="3"/>
  <c r="T335" i="3"/>
  <c r="S335" i="3" a="1"/>
  <c r="S335" i="3" s="1"/>
  <c r="R335" i="3"/>
  <c r="Q335" i="3"/>
  <c r="P335" i="3"/>
  <c r="U334" i="3"/>
  <c r="T334" i="3"/>
  <c r="S334" i="3"/>
  <c r="S334" i="3" a="1"/>
  <c r="R334" i="3"/>
  <c r="P334" i="3"/>
  <c r="Q334" i="3" s="1"/>
  <c r="U333" i="3"/>
  <c r="T333" i="3"/>
  <c r="S333" i="3"/>
  <c r="S333" i="3" a="1"/>
  <c r="R333" i="3"/>
  <c r="Q333" i="3"/>
  <c r="P333" i="3"/>
  <c r="U332" i="3"/>
  <c r="T332" i="3"/>
  <c r="S332" i="3"/>
  <c r="S332" i="3" a="1"/>
  <c r="R332" i="3"/>
  <c r="P332" i="3"/>
  <c r="Q332" i="3" s="1"/>
  <c r="U331" i="3"/>
  <c r="T331" i="3"/>
  <c r="S331" i="3" a="1"/>
  <c r="S331" i="3" s="1"/>
  <c r="R331" i="3"/>
  <c r="Q331" i="3"/>
  <c r="P331" i="3"/>
  <c r="U330" i="3"/>
  <c r="T330" i="3"/>
  <c r="S330" i="3" a="1"/>
  <c r="S330" i="3" s="1"/>
  <c r="R330" i="3"/>
  <c r="Q330" i="3"/>
  <c r="P330" i="3"/>
  <c r="U329" i="3"/>
  <c r="T329" i="3"/>
  <c r="S329" i="3" a="1"/>
  <c r="S329" i="3" s="1"/>
  <c r="R329" i="3"/>
  <c r="P329" i="3"/>
  <c r="Q329" i="3" s="1"/>
  <c r="U328" i="3"/>
  <c r="T328" i="3"/>
  <c r="S328" i="3"/>
  <c r="S328" i="3" a="1"/>
  <c r="R328" i="3"/>
  <c r="P328" i="3"/>
  <c r="Q328" i="3" s="1"/>
  <c r="U327" i="3"/>
  <c r="T327" i="3"/>
  <c r="S327" i="3" a="1"/>
  <c r="S327" i="3" s="1"/>
  <c r="R327" i="3"/>
  <c r="P327" i="3"/>
  <c r="Q327" i="3" s="1"/>
  <c r="U326" i="3"/>
  <c r="T326" i="3"/>
  <c r="S326" i="3"/>
  <c r="S326" i="3" a="1"/>
  <c r="R326" i="3"/>
  <c r="P326" i="3"/>
  <c r="Q326" i="3" s="1"/>
  <c r="U325" i="3"/>
  <c r="T325" i="3"/>
  <c r="S325" i="3" a="1"/>
  <c r="S325" i="3" s="1"/>
  <c r="R325" i="3"/>
  <c r="Q325" i="3"/>
  <c r="P325" i="3"/>
  <c r="U324" i="3"/>
  <c r="T324" i="3"/>
  <c r="S324" i="3" a="1"/>
  <c r="S324" i="3" s="1"/>
  <c r="R324" i="3"/>
  <c r="P324" i="3"/>
  <c r="Q324" i="3" s="1"/>
  <c r="U323" i="3"/>
  <c r="T323" i="3"/>
  <c r="S323" i="3"/>
  <c r="S323" i="3" a="1"/>
  <c r="R323" i="3"/>
  <c r="Q323" i="3"/>
  <c r="P323" i="3"/>
  <c r="U322" i="3"/>
  <c r="T322" i="3"/>
  <c r="S322" i="3"/>
  <c r="S322" i="3" a="1"/>
  <c r="R322" i="3"/>
  <c r="P322" i="3"/>
  <c r="Q322" i="3" s="1"/>
  <c r="U321" i="3"/>
  <c r="T321" i="3"/>
  <c r="S321" i="3" a="1"/>
  <c r="S321" i="3" s="1"/>
  <c r="R321" i="3"/>
  <c r="Q321" i="3"/>
  <c r="P321" i="3"/>
  <c r="U320" i="3"/>
  <c r="T320" i="3"/>
  <c r="S320" i="3"/>
  <c r="S320" i="3" a="1"/>
  <c r="R320" i="3"/>
  <c r="Q320" i="3"/>
  <c r="P320" i="3"/>
  <c r="U319" i="3"/>
  <c r="T319" i="3"/>
  <c r="S319" i="3" a="1"/>
  <c r="S319" i="3" s="1"/>
  <c r="R319" i="3"/>
  <c r="Q319" i="3"/>
  <c r="P319" i="3"/>
  <c r="U318" i="3"/>
  <c r="T318" i="3"/>
  <c r="S318" i="3"/>
  <c r="S318" i="3" a="1"/>
  <c r="R318" i="3"/>
  <c r="P318" i="3"/>
  <c r="Q318" i="3" s="1"/>
  <c r="U317" i="3"/>
  <c r="T317" i="3"/>
  <c r="S317" i="3"/>
  <c r="S317" i="3" a="1"/>
  <c r="R317" i="3"/>
  <c r="Q317" i="3"/>
  <c r="P317" i="3"/>
  <c r="U316" i="3"/>
  <c r="T316" i="3"/>
  <c r="S316" i="3"/>
  <c r="S316" i="3" a="1"/>
  <c r="R316" i="3"/>
  <c r="P316" i="3"/>
  <c r="Q316" i="3" s="1"/>
  <c r="U315" i="3"/>
  <c r="T315" i="3"/>
  <c r="S315" i="3"/>
  <c r="S315" i="3" a="1"/>
  <c r="R315" i="3"/>
  <c r="Q315" i="3"/>
  <c r="P315" i="3"/>
  <c r="U314" i="3"/>
  <c r="T314" i="3"/>
  <c r="S314" i="3" a="1"/>
  <c r="S314" i="3" s="1"/>
  <c r="R314" i="3"/>
  <c r="Q314" i="3"/>
  <c r="P314" i="3"/>
  <c r="U313" i="3"/>
  <c r="T313" i="3"/>
  <c r="S313" i="3" a="1"/>
  <c r="S313" i="3" s="1"/>
  <c r="R313" i="3"/>
  <c r="Q313" i="3"/>
  <c r="P313" i="3"/>
  <c r="U312" i="3"/>
  <c r="T312" i="3"/>
  <c r="S312" i="3"/>
  <c r="S312" i="3" a="1"/>
  <c r="R312" i="3"/>
  <c r="P312" i="3"/>
  <c r="Q312" i="3" s="1"/>
  <c r="U311" i="3"/>
  <c r="T311" i="3"/>
  <c r="S311" i="3" a="1"/>
  <c r="S311" i="3" s="1"/>
  <c r="R311" i="3"/>
  <c r="P311" i="3"/>
  <c r="Q311" i="3" s="1"/>
  <c r="U310" i="3"/>
  <c r="T310" i="3"/>
  <c r="S310" i="3"/>
  <c r="S310" i="3" a="1"/>
  <c r="R310" i="3"/>
  <c r="P310" i="3"/>
  <c r="Q310" i="3" s="1"/>
  <c r="U309" i="3"/>
  <c r="T309" i="3"/>
  <c r="S309" i="3" a="1"/>
  <c r="S309" i="3" s="1"/>
  <c r="R309" i="3"/>
  <c r="Q309" i="3"/>
  <c r="P309" i="3"/>
  <c r="U308" i="3"/>
  <c r="T308" i="3"/>
  <c r="S308" i="3" a="1"/>
  <c r="S308" i="3" s="1"/>
  <c r="R308" i="3"/>
  <c r="P308" i="3"/>
  <c r="Q308" i="3" s="1"/>
  <c r="U307" i="3"/>
  <c r="T307" i="3"/>
  <c r="S307" i="3"/>
  <c r="S307" i="3" a="1"/>
  <c r="R307" i="3"/>
  <c r="Q307" i="3"/>
  <c r="P307" i="3"/>
  <c r="U306" i="3"/>
  <c r="T306" i="3"/>
  <c r="S306" i="3"/>
  <c r="S306" i="3" a="1"/>
  <c r="R306" i="3"/>
  <c r="P306" i="3"/>
  <c r="Q306" i="3" s="1"/>
  <c r="U305" i="3"/>
  <c r="T305" i="3"/>
  <c r="S305" i="3" a="1"/>
  <c r="S305" i="3" s="1"/>
  <c r="R305" i="3"/>
  <c r="Q305" i="3"/>
  <c r="P305" i="3"/>
  <c r="U304" i="3"/>
  <c r="T304" i="3"/>
  <c r="S304" i="3"/>
  <c r="S304" i="3" a="1"/>
  <c r="R304" i="3"/>
  <c r="Q304" i="3"/>
  <c r="P304" i="3"/>
  <c r="U303" i="3"/>
  <c r="T303" i="3"/>
  <c r="S303" i="3" a="1"/>
  <c r="S303" i="3" s="1"/>
  <c r="R303" i="3"/>
  <c r="Q303" i="3"/>
  <c r="P303" i="3"/>
  <c r="U302" i="3"/>
  <c r="T302" i="3"/>
  <c r="S302" i="3"/>
  <c r="S302" i="3" a="1"/>
  <c r="R302" i="3"/>
  <c r="P302" i="3"/>
  <c r="Q302" i="3" s="1"/>
  <c r="U301" i="3"/>
  <c r="T301" i="3"/>
  <c r="S301" i="3"/>
  <c r="S301" i="3" a="1"/>
  <c r="R301" i="3"/>
  <c r="Q301" i="3"/>
  <c r="P301" i="3"/>
  <c r="U300" i="3"/>
  <c r="T300" i="3"/>
  <c r="S300" i="3"/>
  <c r="S300" i="3" a="1"/>
  <c r="R300" i="3"/>
  <c r="P300" i="3"/>
  <c r="Q300" i="3" s="1"/>
  <c r="U299" i="3"/>
  <c r="T299" i="3"/>
  <c r="S299" i="3" a="1"/>
  <c r="S299" i="3" s="1"/>
  <c r="R299" i="3"/>
  <c r="Q299" i="3"/>
  <c r="P299" i="3"/>
  <c r="U298" i="3"/>
  <c r="T298" i="3"/>
  <c r="S298" i="3" a="1"/>
  <c r="S298" i="3" s="1"/>
  <c r="R298" i="3"/>
  <c r="Q298" i="3"/>
  <c r="P298" i="3"/>
  <c r="U297" i="3"/>
  <c r="T297" i="3"/>
  <c r="S297" i="3" a="1"/>
  <c r="S297" i="3" s="1"/>
  <c r="R297" i="3"/>
  <c r="P297" i="3"/>
  <c r="Q297" i="3" s="1"/>
  <c r="U296" i="3"/>
  <c r="T296" i="3"/>
  <c r="S296" i="3"/>
  <c r="S296" i="3" a="1"/>
  <c r="R296" i="3"/>
  <c r="P296" i="3"/>
  <c r="Q296" i="3" s="1"/>
  <c r="U295" i="3"/>
  <c r="T295" i="3"/>
  <c r="S295" i="3" a="1"/>
  <c r="S295" i="3" s="1"/>
  <c r="R295" i="3"/>
  <c r="P295" i="3"/>
  <c r="Q295" i="3" s="1"/>
  <c r="U294" i="3"/>
  <c r="T294" i="3"/>
  <c r="S294" i="3"/>
  <c r="S294" i="3" a="1"/>
  <c r="R294" i="3"/>
  <c r="P294" i="3"/>
  <c r="Q294" i="3" s="1"/>
  <c r="U293" i="3"/>
  <c r="T293" i="3"/>
  <c r="S293" i="3" a="1"/>
  <c r="S293" i="3" s="1"/>
  <c r="R293" i="3"/>
  <c r="Q293" i="3"/>
  <c r="P293" i="3"/>
  <c r="U292" i="3"/>
  <c r="T292" i="3"/>
  <c r="S292" i="3" a="1"/>
  <c r="S292" i="3" s="1"/>
  <c r="R292" i="3"/>
  <c r="P292" i="3"/>
  <c r="Q292" i="3" s="1"/>
  <c r="U291" i="3"/>
  <c r="T291" i="3"/>
  <c r="S291" i="3"/>
  <c r="S291" i="3" a="1"/>
  <c r="R291" i="3"/>
  <c r="Q291" i="3"/>
  <c r="P291" i="3"/>
  <c r="U290" i="3"/>
  <c r="T290" i="3"/>
  <c r="S290" i="3"/>
  <c r="S290" i="3" a="1"/>
  <c r="R290" i="3"/>
  <c r="P290" i="3"/>
  <c r="Q290" i="3" s="1"/>
  <c r="U289" i="3"/>
  <c r="T289" i="3"/>
  <c r="S289" i="3" a="1"/>
  <c r="S289" i="3" s="1"/>
  <c r="R289" i="3"/>
  <c r="Q289" i="3"/>
  <c r="P289" i="3"/>
  <c r="U288" i="3"/>
  <c r="T288" i="3"/>
  <c r="S288" i="3"/>
  <c r="S288" i="3" a="1"/>
  <c r="R288" i="3"/>
  <c r="Q288" i="3"/>
  <c r="P288" i="3"/>
  <c r="U287" i="3"/>
  <c r="T287" i="3"/>
  <c r="S287" i="3" a="1"/>
  <c r="S287" i="3" s="1"/>
  <c r="R287" i="3"/>
  <c r="Q287" i="3"/>
  <c r="P287" i="3"/>
  <c r="U286" i="3"/>
  <c r="T286" i="3"/>
  <c r="S286" i="3"/>
  <c r="S286" i="3" a="1"/>
  <c r="R286" i="3"/>
  <c r="P286" i="3"/>
  <c r="Q286" i="3" s="1"/>
  <c r="U285" i="3"/>
  <c r="T285" i="3"/>
  <c r="S285" i="3"/>
  <c r="S285" i="3" a="1"/>
  <c r="R285" i="3"/>
  <c r="Q285" i="3"/>
  <c r="P285" i="3"/>
  <c r="U284" i="3"/>
  <c r="T284" i="3"/>
  <c r="S284" i="3"/>
  <c r="S284" i="3" a="1"/>
  <c r="R284" i="3"/>
  <c r="P284" i="3"/>
  <c r="Q284" i="3" s="1"/>
  <c r="U283" i="3"/>
  <c r="T283" i="3"/>
  <c r="S283" i="3" a="1"/>
  <c r="S283" i="3" s="1"/>
  <c r="R283" i="3"/>
  <c r="Q283" i="3"/>
  <c r="P283" i="3"/>
  <c r="U282" i="3"/>
  <c r="T282" i="3"/>
  <c r="S282" i="3" a="1"/>
  <c r="S282" i="3" s="1"/>
  <c r="R282" i="3"/>
  <c r="Q282" i="3"/>
  <c r="P282" i="3"/>
  <c r="U281" i="3"/>
  <c r="T281" i="3"/>
  <c r="S281" i="3" a="1"/>
  <c r="S281" i="3" s="1"/>
  <c r="R281" i="3"/>
  <c r="P281" i="3"/>
  <c r="Q281" i="3" s="1"/>
  <c r="U280" i="3"/>
  <c r="T280" i="3"/>
  <c r="S280" i="3"/>
  <c r="S280" i="3" a="1"/>
  <c r="R280" i="3"/>
  <c r="P280" i="3"/>
  <c r="Q280" i="3" s="1"/>
  <c r="U279" i="3"/>
  <c r="T279" i="3"/>
  <c r="S279" i="3" a="1"/>
  <c r="S279" i="3" s="1"/>
  <c r="R279" i="3"/>
  <c r="P279" i="3"/>
  <c r="Q279" i="3" s="1"/>
  <c r="U278" i="3"/>
  <c r="T278" i="3"/>
  <c r="S278" i="3"/>
  <c r="S278" i="3" a="1"/>
  <c r="R278" i="3"/>
  <c r="P278" i="3"/>
  <c r="Q278" i="3" s="1"/>
  <c r="U277" i="3"/>
  <c r="T277" i="3"/>
  <c r="S277" i="3"/>
  <c r="S277" i="3" a="1"/>
  <c r="R277" i="3"/>
  <c r="Q277" i="3"/>
  <c r="P277" i="3"/>
  <c r="U276" i="3"/>
  <c r="T276" i="3"/>
  <c r="S276" i="3" a="1"/>
  <c r="S276" i="3" s="1"/>
  <c r="R276" i="3"/>
  <c r="P276" i="3"/>
  <c r="Q276" i="3" s="1"/>
  <c r="U275" i="3"/>
  <c r="T275" i="3"/>
  <c r="S275" i="3"/>
  <c r="S275" i="3" a="1"/>
  <c r="R275" i="3"/>
  <c r="Q275" i="3"/>
  <c r="P275" i="3"/>
  <c r="U274" i="3"/>
  <c r="T274" i="3"/>
  <c r="S274" i="3"/>
  <c r="S274" i="3" a="1"/>
  <c r="R274" i="3"/>
  <c r="P274" i="3"/>
  <c r="Q274" i="3" s="1"/>
  <c r="U273" i="3"/>
  <c r="T273" i="3"/>
  <c r="S273" i="3" a="1"/>
  <c r="S273" i="3" s="1"/>
  <c r="R273" i="3"/>
  <c r="Q273" i="3"/>
  <c r="P273" i="3"/>
  <c r="U272" i="3"/>
  <c r="T272" i="3"/>
  <c r="S272" i="3"/>
  <c r="S272" i="3" a="1"/>
  <c r="R272" i="3"/>
  <c r="Q272" i="3"/>
  <c r="P272" i="3"/>
  <c r="U271" i="3"/>
  <c r="T271" i="3"/>
  <c r="S271" i="3" a="1"/>
  <c r="S271" i="3" s="1"/>
  <c r="R271" i="3"/>
  <c r="Q271" i="3"/>
  <c r="P271" i="3"/>
  <c r="U270" i="3"/>
  <c r="T270" i="3"/>
  <c r="S270" i="3"/>
  <c r="S270" i="3" a="1"/>
  <c r="R270" i="3"/>
  <c r="P270" i="3"/>
  <c r="Q270" i="3" s="1"/>
  <c r="U269" i="3"/>
  <c r="T269" i="3"/>
  <c r="S269" i="3"/>
  <c r="S269" i="3" a="1"/>
  <c r="R269" i="3"/>
  <c r="Q269" i="3"/>
  <c r="P269" i="3"/>
  <c r="U268" i="3"/>
  <c r="T268" i="3"/>
  <c r="S268" i="3"/>
  <c r="S268" i="3" a="1"/>
  <c r="R268" i="3"/>
  <c r="P268" i="3"/>
  <c r="Q268" i="3" s="1"/>
  <c r="U267" i="3"/>
  <c r="T267" i="3"/>
  <c r="S267" i="3" a="1"/>
  <c r="S267" i="3" s="1"/>
  <c r="R267" i="3"/>
  <c r="Q267" i="3"/>
  <c r="P267" i="3"/>
  <c r="U266" i="3"/>
  <c r="T266" i="3"/>
  <c r="S266" i="3" a="1"/>
  <c r="S266" i="3" s="1"/>
  <c r="R266" i="3"/>
  <c r="Q266" i="3"/>
  <c r="P266" i="3"/>
  <c r="U265" i="3"/>
  <c r="T265" i="3"/>
  <c r="S265" i="3" a="1"/>
  <c r="S265" i="3" s="1"/>
  <c r="R265" i="3"/>
  <c r="P265" i="3"/>
  <c r="Q265" i="3" s="1"/>
  <c r="U264" i="3"/>
  <c r="T264" i="3"/>
  <c r="S264" i="3"/>
  <c r="S264" i="3" a="1"/>
  <c r="R264" i="3"/>
  <c r="P264" i="3"/>
  <c r="Q264" i="3" s="1"/>
  <c r="U263" i="3"/>
  <c r="T263" i="3"/>
  <c r="S263" i="3" a="1"/>
  <c r="S263" i="3" s="1"/>
  <c r="R263" i="3"/>
  <c r="P263" i="3"/>
  <c r="Q263" i="3" s="1"/>
  <c r="U262" i="3"/>
  <c r="T262" i="3"/>
  <c r="S262" i="3"/>
  <c r="S262" i="3" a="1"/>
  <c r="R262" i="3"/>
  <c r="P262" i="3"/>
  <c r="Q262" i="3" s="1"/>
  <c r="U261" i="3"/>
  <c r="T261" i="3"/>
  <c r="S261" i="3" a="1"/>
  <c r="S261" i="3" s="1"/>
  <c r="R261" i="3"/>
  <c r="Q261" i="3"/>
  <c r="P261" i="3"/>
  <c r="U260" i="3"/>
  <c r="T260" i="3"/>
  <c r="S260" i="3" a="1"/>
  <c r="S260" i="3" s="1"/>
  <c r="R260" i="3"/>
  <c r="P260" i="3"/>
  <c r="Q260" i="3" s="1"/>
  <c r="U259" i="3"/>
  <c r="T259" i="3"/>
  <c r="S259" i="3"/>
  <c r="S259" i="3" a="1"/>
  <c r="R259" i="3"/>
  <c r="Q259" i="3"/>
  <c r="P259" i="3"/>
  <c r="U258" i="3"/>
  <c r="T258" i="3"/>
  <c r="S258" i="3"/>
  <c r="S258" i="3" a="1"/>
  <c r="R258" i="3"/>
  <c r="P258" i="3"/>
  <c r="Q258" i="3" s="1"/>
  <c r="U257" i="3"/>
  <c r="T257" i="3"/>
  <c r="S257" i="3" a="1"/>
  <c r="S257" i="3" s="1"/>
  <c r="R257" i="3"/>
  <c r="Q257" i="3"/>
  <c r="P257" i="3"/>
  <c r="U256" i="3"/>
  <c r="T256" i="3"/>
  <c r="S256" i="3"/>
  <c r="S256" i="3" a="1"/>
  <c r="R256" i="3"/>
  <c r="Q256" i="3"/>
  <c r="P256" i="3"/>
  <c r="U255" i="3"/>
  <c r="T255" i="3"/>
  <c r="S255" i="3" a="1"/>
  <c r="S255" i="3" s="1"/>
  <c r="R255" i="3"/>
  <c r="Q255" i="3"/>
  <c r="P255" i="3"/>
  <c r="U254" i="3"/>
  <c r="T254" i="3"/>
  <c r="S254" i="3"/>
  <c r="S254" i="3" a="1"/>
  <c r="R254" i="3"/>
  <c r="P254" i="3"/>
  <c r="Q254" i="3" s="1"/>
  <c r="U253" i="3"/>
  <c r="T253" i="3"/>
  <c r="S253" i="3"/>
  <c r="S253" i="3" a="1"/>
  <c r="R253" i="3"/>
  <c r="Q253" i="3"/>
  <c r="P253" i="3"/>
  <c r="U252" i="3"/>
  <c r="T252" i="3"/>
  <c r="S252" i="3"/>
  <c r="S252" i="3" a="1"/>
  <c r="R252" i="3"/>
  <c r="P252" i="3"/>
  <c r="Q252" i="3" s="1"/>
  <c r="U251" i="3"/>
  <c r="T251" i="3"/>
  <c r="S251" i="3" a="1"/>
  <c r="S251" i="3" s="1"/>
  <c r="R251" i="3"/>
  <c r="Q251" i="3"/>
  <c r="P251" i="3"/>
  <c r="U250" i="3"/>
  <c r="T250" i="3"/>
  <c r="S250" i="3" a="1"/>
  <c r="S250" i="3" s="1"/>
  <c r="R250" i="3"/>
  <c r="Q250" i="3"/>
  <c r="P250" i="3"/>
  <c r="U249" i="3"/>
  <c r="T249" i="3"/>
  <c r="S249" i="3" a="1"/>
  <c r="S249" i="3" s="1"/>
  <c r="R249" i="3"/>
  <c r="P249" i="3"/>
  <c r="Q249" i="3" s="1"/>
  <c r="U248" i="3"/>
  <c r="T248" i="3"/>
  <c r="S248" i="3"/>
  <c r="S248" i="3" a="1"/>
  <c r="R248" i="3"/>
  <c r="P248" i="3"/>
  <c r="Q248" i="3" s="1"/>
  <c r="U247" i="3"/>
  <c r="T247" i="3"/>
  <c r="S247" i="3" a="1"/>
  <c r="S247" i="3" s="1"/>
  <c r="R247" i="3"/>
  <c r="P247" i="3"/>
  <c r="Q247" i="3" s="1"/>
  <c r="U246" i="3"/>
  <c r="T246" i="3"/>
  <c r="S246" i="3"/>
  <c r="S246" i="3" a="1"/>
  <c r="R246" i="3"/>
  <c r="P246" i="3"/>
  <c r="Q246" i="3" s="1"/>
  <c r="U245" i="3"/>
  <c r="T245" i="3"/>
  <c r="S245" i="3" a="1"/>
  <c r="S245" i="3" s="1"/>
  <c r="R245" i="3"/>
  <c r="Q245" i="3"/>
  <c r="P245" i="3"/>
  <c r="U244" i="3"/>
  <c r="T244" i="3"/>
  <c r="S244" i="3" a="1"/>
  <c r="S244" i="3" s="1"/>
  <c r="R244" i="3"/>
  <c r="P244" i="3"/>
  <c r="Q244" i="3" s="1"/>
  <c r="U243" i="3"/>
  <c r="T243" i="3"/>
  <c r="S243" i="3"/>
  <c r="S243" i="3" a="1"/>
  <c r="R243" i="3"/>
  <c r="Q243" i="3"/>
  <c r="P243" i="3"/>
  <c r="U242" i="3"/>
  <c r="T242" i="3"/>
  <c r="S242" i="3"/>
  <c r="S242" i="3" a="1"/>
  <c r="R242" i="3"/>
  <c r="P242" i="3"/>
  <c r="Q242" i="3" s="1"/>
  <c r="U241" i="3"/>
  <c r="T241" i="3"/>
  <c r="S241" i="3" a="1"/>
  <c r="S241" i="3" s="1"/>
  <c r="R241" i="3"/>
  <c r="Q241" i="3"/>
  <c r="P241" i="3"/>
  <c r="U240" i="3"/>
  <c r="T240" i="3"/>
  <c r="S240" i="3"/>
  <c r="S240" i="3" a="1"/>
  <c r="R240" i="3"/>
  <c r="Q240" i="3"/>
  <c r="P240" i="3"/>
  <c r="U239" i="3"/>
  <c r="T239" i="3"/>
  <c r="S239" i="3" a="1"/>
  <c r="S239" i="3" s="1"/>
  <c r="R239" i="3"/>
  <c r="Q239" i="3"/>
  <c r="P239" i="3"/>
  <c r="U238" i="3"/>
  <c r="T238" i="3"/>
  <c r="S238" i="3"/>
  <c r="S238" i="3" a="1"/>
  <c r="R238" i="3"/>
  <c r="P238" i="3"/>
  <c r="Q238" i="3" s="1"/>
  <c r="U237" i="3"/>
  <c r="T237" i="3"/>
  <c r="S237" i="3"/>
  <c r="S237" i="3" a="1"/>
  <c r="R237" i="3"/>
  <c r="Q237" i="3"/>
  <c r="P237" i="3"/>
  <c r="U236" i="3"/>
  <c r="T236" i="3"/>
  <c r="S236" i="3"/>
  <c r="S236" i="3" a="1"/>
  <c r="R236" i="3"/>
  <c r="P236" i="3"/>
  <c r="Q236" i="3" s="1"/>
  <c r="U235" i="3"/>
  <c r="T235" i="3"/>
  <c r="S235" i="3" a="1"/>
  <c r="S235" i="3" s="1"/>
  <c r="R235" i="3"/>
  <c r="Q235" i="3"/>
  <c r="P235" i="3"/>
  <c r="U234" i="3"/>
  <c r="T234" i="3"/>
  <c r="S234" i="3"/>
  <c r="S234" i="3" a="1"/>
  <c r="R234" i="3"/>
  <c r="Q234" i="3"/>
  <c r="P234" i="3"/>
  <c r="U233" i="3"/>
  <c r="T233" i="3"/>
  <c r="S233" i="3" a="1"/>
  <c r="S233" i="3" s="1"/>
  <c r="R233" i="3"/>
  <c r="P233" i="3"/>
  <c r="Q233" i="3" s="1"/>
  <c r="U232" i="3"/>
  <c r="T232" i="3"/>
  <c r="S232" i="3"/>
  <c r="S232" i="3" a="1"/>
  <c r="R232" i="3"/>
  <c r="Q232" i="3"/>
  <c r="P232" i="3"/>
  <c r="U231" i="3"/>
  <c r="T231" i="3"/>
  <c r="S231" i="3" a="1"/>
  <c r="S231" i="3" s="1"/>
  <c r="R231" i="3"/>
  <c r="P231" i="3"/>
  <c r="Q231" i="3" s="1"/>
  <c r="U230" i="3"/>
  <c r="T230" i="3"/>
  <c r="S230" i="3"/>
  <c r="S230" i="3" a="1"/>
  <c r="R230" i="3"/>
  <c r="P230" i="3"/>
  <c r="Q230" i="3" s="1"/>
  <c r="U229" i="3"/>
  <c r="T229" i="3"/>
  <c r="S229" i="3" a="1"/>
  <c r="S229" i="3" s="1"/>
  <c r="R229" i="3"/>
  <c r="Q229" i="3"/>
  <c r="P229" i="3"/>
  <c r="U228" i="3"/>
  <c r="T228" i="3"/>
  <c r="S228" i="3" a="1"/>
  <c r="S228" i="3" s="1"/>
  <c r="R228" i="3"/>
  <c r="P228" i="3"/>
  <c r="Q228" i="3" s="1"/>
  <c r="U227" i="3"/>
  <c r="T227" i="3"/>
  <c r="S227" i="3"/>
  <c r="S227" i="3" a="1"/>
  <c r="R227" i="3"/>
  <c r="Q227" i="3"/>
  <c r="P227" i="3"/>
  <c r="U226" i="3"/>
  <c r="T226" i="3"/>
  <c r="S226" i="3"/>
  <c r="S226" i="3" a="1"/>
  <c r="R226" i="3"/>
  <c r="P226" i="3"/>
  <c r="Q226" i="3" s="1"/>
  <c r="U225" i="3"/>
  <c r="T225" i="3"/>
  <c r="S225" i="3" a="1"/>
  <c r="S225" i="3" s="1"/>
  <c r="R225" i="3"/>
  <c r="Q225" i="3"/>
  <c r="P225" i="3"/>
  <c r="U224" i="3"/>
  <c r="T224" i="3"/>
  <c r="S224" i="3"/>
  <c r="S224" i="3" a="1"/>
  <c r="R224" i="3"/>
  <c r="Q224" i="3"/>
  <c r="P224" i="3"/>
  <c r="U223" i="3"/>
  <c r="T223" i="3"/>
  <c r="S223" i="3" a="1"/>
  <c r="S223" i="3" s="1"/>
  <c r="R223" i="3"/>
  <c r="Q223" i="3"/>
  <c r="P223" i="3"/>
  <c r="U222" i="3"/>
  <c r="T222" i="3"/>
  <c r="S222" i="3"/>
  <c r="S222" i="3" a="1"/>
  <c r="R222" i="3"/>
  <c r="P222" i="3"/>
  <c r="Q222" i="3" s="1"/>
  <c r="U221" i="3"/>
  <c r="T221" i="3"/>
  <c r="S221" i="3"/>
  <c r="S221" i="3" a="1"/>
  <c r="R221" i="3"/>
  <c r="Q221" i="3"/>
  <c r="P221" i="3"/>
  <c r="U220" i="3"/>
  <c r="T220" i="3"/>
  <c r="S220" i="3"/>
  <c r="S220" i="3" a="1"/>
  <c r="R220" i="3"/>
  <c r="P220" i="3"/>
  <c r="Q220" i="3" s="1"/>
  <c r="U219" i="3"/>
  <c r="T219" i="3"/>
  <c r="S219" i="3" a="1"/>
  <c r="S219" i="3" s="1"/>
  <c r="R219" i="3"/>
  <c r="Q219" i="3"/>
  <c r="P219" i="3"/>
  <c r="U218" i="3"/>
  <c r="T218" i="3"/>
  <c r="S218" i="3" a="1"/>
  <c r="S218" i="3" s="1"/>
  <c r="R218" i="3"/>
  <c r="Q218" i="3"/>
  <c r="P218" i="3"/>
  <c r="U217" i="3"/>
  <c r="T217" i="3"/>
  <c r="S217" i="3" a="1"/>
  <c r="S217" i="3" s="1"/>
  <c r="R217" i="3"/>
  <c r="P217" i="3"/>
  <c r="Q217" i="3" s="1"/>
  <c r="U216" i="3"/>
  <c r="T216" i="3"/>
  <c r="S216" i="3"/>
  <c r="S216" i="3" a="1"/>
  <c r="R216" i="3"/>
  <c r="P216" i="3"/>
  <c r="Q216" i="3" s="1"/>
  <c r="U215" i="3"/>
  <c r="T215" i="3"/>
  <c r="S215" i="3" a="1"/>
  <c r="S215" i="3" s="1"/>
  <c r="R215" i="3"/>
  <c r="P215" i="3"/>
  <c r="Q215" i="3" s="1"/>
  <c r="U214" i="3"/>
  <c r="T214" i="3"/>
  <c r="S214" i="3"/>
  <c r="S214" i="3" a="1"/>
  <c r="R214" i="3"/>
  <c r="P214" i="3"/>
  <c r="Q214" i="3" s="1"/>
  <c r="U213" i="3"/>
  <c r="T213" i="3"/>
  <c r="S213" i="3" a="1"/>
  <c r="S213" i="3" s="1"/>
  <c r="R213" i="3"/>
  <c r="Q213" i="3"/>
  <c r="P213" i="3"/>
  <c r="U212" i="3"/>
  <c r="T212" i="3"/>
  <c r="S212" i="3" a="1"/>
  <c r="S212" i="3" s="1"/>
  <c r="R212" i="3"/>
  <c r="P212" i="3"/>
  <c r="Q212" i="3" s="1"/>
  <c r="U211" i="3"/>
  <c r="T211" i="3"/>
  <c r="S211" i="3"/>
  <c r="S211" i="3" a="1"/>
  <c r="R211" i="3"/>
  <c r="Q211" i="3"/>
  <c r="P211" i="3"/>
  <c r="U210" i="3"/>
  <c r="T210" i="3"/>
  <c r="S210" i="3"/>
  <c r="S210" i="3" a="1"/>
  <c r="R210" i="3"/>
  <c r="P210" i="3"/>
  <c r="Q210" i="3" s="1"/>
  <c r="U209" i="3"/>
  <c r="T209" i="3"/>
  <c r="S209" i="3" a="1"/>
  <c r="S209" i="3" s="1"/>
  <c r="R209" i="3"/>
  <c r="Q209" i="3"/>
  <c r="P209" i="3"/>
  <c r="U208" i="3"/>
  <c r="T208" i="3"/>
  <c r="S208" i="3"/>
  <c r="S208" i="3" a="1"/>
  <c r="R208" i="3"/>
  <c r="Q208" i="3"/>
  <c r="P208" i="3"/>
  <c r="U207" i="3"/>
  <c r="T207" i="3"/>
  <c r="S207" i="3" a="1"/>
  <c r="S207" i="3" s="1"/>
  <c r="R207" i="3"/>
  <c r="Q207" i="3"/>
  <c r="P207" i="3"/>
  <c r="U206" i="3"/>
  <c r="T206" i="3"/>
  <c r="S206" i="3"/>
  <c r="S206" i="3" a="1"/>
  <c r="R206" i="3"/>
  <c r="P206" i="3"/>
  <c r="Q206" i="3" s="1"/>
  <c r="U205" i="3"/>
  <c r="T205" i="3"/>
  <c r="S205" i="3"/>
  <c r="S205" i="3" a="1"/>
  <c r="R205" i="3"/>
  <c r="Q205" i="3"/>
  <c r="P205" i="3"/>
  <c r="U204" i="3"/>
  <c r="T204" i="3"/>
  <c r="S204" i="3"/>
  <c r="S204" i="3" a="1"/>
  <c r="R204" i="3"/>
  <c r="P204" i="3"/>
  <c r="Q204" i="3" s="1"/>
  <c r="U203" i="3"/>
  <c r="T203" i="3"/>
  <c r="S203" i="3" a="1"/>
  <c r="S203" i="3" s="1"/>
  <c r="R203" i="3"/>
  <c r="Q203" i="3"/>
  <c r="P203" i="3"/>
  <c r="U202" i="3"/>
  <c r="T202" i="3"/>
  <c r="S202" i="3" a="1"/>
  <c r="S202" i="3" s="1"/>
  <c r="R202" i="3"/>
  <c r="Q202" i="3"/>
  <c r="P202" i="3"/>
  <c r="U201" i="3"/>
  <c r="T201" i="3"/>
  <c r="S201" i="3" a="1"/>
  <c r="S201" i="3" s="1"/>
  <c r="R201" i="3"/>
  <c r="P201" i="3"/>
  <c r="Q201" i="3" s="1"/>
  <c r="U200" i="3"/>
  <c r="T200" i="3"/>
  <c r="S200" i="3"/>
  <c r="S200" i="3" a="1"/>
  <c r="R200" i="3"/>
  <c r="P200" i="3"/>
  <c r="Q200" i="3" s="1"/>
  <c r="U199" i="3"/>
  <c r="T199" i="3"/>
  <c r="S199" i="3" a="1"/>
  <c r="S199" i="3" s="1"/>
  <c r="R199" i="3"/>
  <c r="P199" i="3"/>
  <c r="Q199" i="3" s="1"/>
  <c r="U198" i="3"/>
  <c r="T198" i="3"/>
  <c r="S198" i="3"/>
  <c r="S198" i="3" a="1"/>
  <c r="R198" i="3"/>
  <c r="P198" i="3"/>
  <c r="Q198" i="3" s="1"/>
  <c r="U197" i="3"/>
  <c r="T197" i="3"/>
  <c r="S197" i="3" a="1"/>
  <c r="S197" i="3" s="1"/>
  <c r="R197" i="3"/>
  <c r="Q197" i="3"/>
  <c r="P197" i="3"/>
  <c r="U196" i="3"/>
  <c r="T196" i="3"/>
  <c r="S196" i="3" a="1"/>
  <c r="S196" i="3" s="1"/>
  <c r="R196" i="3"/>
  <c r="P196" i="3"/>
  <c r="Q196" i="3" s="1"/>
  <c r="U195" i="3"/>
  <c r="T195" i="3"/>
  <c r="S195" i="3"/>
  <c r="S195" i="3" a="1"/>
  <c r="R195" i="3"/>
  <c r="Q195" i="3"/>
  <c r="P195" i="3"/>
  <c r="U194" i="3"/>
  <c r="T194" i="3"/>
  <c r="S194" i="3"/>
  <c r="S194" i="3" a="1"/>
  <c r="R194" i="3"/>
  <c r="P194" i="3"/>
  <c r="Q194" i="3" s="1"/>
  <c r="U193" i="3"/>
  <c r="T193" i="3"/>
  <c r="S193" i="3" a="1"/>
  <c r="S193" i="3" s="1"/>
  <c r="R193" i="3"/>
  <c r="Q193" i="3"/>
  <c r="P193" i="3"/>
  <c r="U192" i="3"/>
  <c r="T192" i="3"/>
  <c r="S192" i="3"/>
  <c r="S192" i="3" a="1"/>
  <c r="R192" i="3"/>
  <c r="Q192" i="3"/>
  <c r="P192" i="3"/>
  <c r="U191" i="3"/>
  <c r="T191" i="3"/>
  <c r="S191" i="3" a="1"/>
  <c r="S191" i="3" s="1"/>
  <c r="R191" i="3"/>
  <c r="Q191" i="3"/>
  <c r="P191" i="3"/>
  <c r="U190" i="3"/>
  <c r="T190" i="3"/>
  <c r="S190" i="3"/>
  <c r="S190" i="3" a="1"/>
  <c r="R190" i="3"/>
  <c r="P190" i="3"/>
  <c r="Q190" i="3" s="1"/>
  <c r="U189" i="3"/>
  <c r="T189" i="3"/>
  <c r="S189" i="3"/>
  <c r="S189" i="3" a="1"/>
  <c r="R189" i="3"/>
  <c r="Q189" i="3"/>
  <c r="P189" i="3"/>
  <c r="U188" i="3"/>
  <c r="T188" i="3"/>
  <c r="S188" i="3"/>
  <c r="S188" i="3" a="1"/>
  <c r="R188" i="3"/>
  <c r="P188" i="3"/>
  <c r="Q188" i="3" s="1"/>
  <c r="U187" i="3"/>
  <c r="T187" i="3"/>
  <c r="S187" i="3"/>
  <c r="S187" i="3" a="1"/>
  <c r="R187" i="3"/>
  <c r="Q187" i="3"/>
  <c r="P187" i="3"/>
  <c r="U186" i="3"/>
  <c r="T186" i="3"/>
  <c r="S186" i="3" a="1"/>
  <c r="S186" i="3" s="1"/>
  <c r="R186" i="3"/>
  <c r="Q186" i="3"/>
  <c r="P186" i="3"/>
  <c r="U185" i="3"/>
  <c r="T185" i="3"/>
  <c r="S185" i="3" a="1"/>
  <c r="S185" i="3" s="1"/>
  <c r="R185" i="3"/>
  <c r="Q185" i="3"/>
  <c r="P185" i="3"/>
  <c r="U184" i="3"/>
  <c r="T184" i="3"/>
  <c r="S184" i="3"/>
  <c r="S184" i="3" a="1"/>
  <c r="R184" i="3"/>
  <c r="P184" i="3"/>
  <c r="Q184" i="3" s="1"/>
  <c r="U183" i="3"/>
  <c r="T183" i="3"/>
  <c r="S183" i="3" a="1"/>
  <c r="S183" i="3" s="1"/>
  <c r="R183" i="3"/>
  <c r="P183" i="3"/>
  <c r="Q183" i="3" s="1"/>
  <c r="U182" i="3"/>
  <c r="T182" i="3"/>
  <c r="S182" i="3"/>
  <c r="S182" i="3" a="1"/>
  <c r="R182" i="3"/>
  <c r="P182" i="3"/>
  <c r="Q182" i="3" s="1"/>
  <c r="U181" i="3"/>
  <c r="T181" i="3"/>
  <c r="S181" i="3" a="1"/>
  <c r="S181" i="3" s="1"/>
  <c r="R181" i="3"/>
  <c r="Q181" i="3"/>
  <c r="P181" i="3"/>
  <c r="U180" i="3"/>
  <c r="T180" i="3"/>
  <c r="S180" i="3" a="1"/>
  <c r="S180" i="3" s="1"/>
  <c r="R180" i="3"/>
  <c r="P180" i="3"/>
  <c r="Q180" i="3" s="1"/>
  <c r="U179" i="3"/>
  <c r="T179" i="3"/>
  <c r="S179" i="3"/>
  <c r="S179" i="3" a="1"/>
  <c r="R179" i="3"/>
  <c r="Q179" i="3"/>
  <c r="P179" i="3"/>
  <c r="U178" i="3"/>
  <c r="T178" i="3"/>
  <c r="S178" i="3"/>
  <c r="S178" i="3" a="1"/>
  <c r="R178" i="3"/>
  <c r="P178" i="3"/>
  <c r="Q178" i="3" s="1"/>
  <c r="U177" i="3"/>
  <c r="T177" i="3"/>
  <c r="S177" i="3" a="1"/>
  <c r="S177" i="3" s="1"/>
  <c r="R177" i="3"/>
  <c r="Q177" i="3"/>
  <c r="P177" i="3"/>
  <c r="U176" i="3"/>
  <c r="T176" i="3"/>
  <c r="S176" i="3"/>
  <c r="S176" i="3" a="1"/>
  <c r="R176" i="3"/>
  <c r="Q176" i="3"/>
  <c r="P176" i="3"/>
  <c r="U175" i="3"/>
  <c r="T175" i="3"/>
  <c r="S175" i="3" a="1"/>
  <c r="S175" i="3" s="1"/>
  <c r="R175" i="3"/>
  <c r="Q175" i="3"/>
  <c r="P175" i="3"/>
  <c r="U174" i="3"/>
  <c r="T174" i="3"/>
  <c r="S174" i="3"/>
  <c r="S174" i="3" a="1"/>
  <c r="R174" i="3"/>
  <c r="P174" i="3"/>
  <c r="Q174" i="3" s="1"/>
  <c r="U173" i="3"/>
  <c r="T173" i="3"/>
  <c r="S173" i="3"/>
  <c r="S173" i="3" a="1"/>
  <c r="R173" i="3"/>
  <c r="Q173" i="3"/>
  <c r="P173" i="3"/>
  <c r="U172" i="3"/>
  <c r="T172" i="3"/>
  <c r="S172" i="3"/>
  <c r="S172" i="3" a="1"/>
  <c r="R172" i="3"/>
  <c r="P172" i="3"/>
  <c r="Q172" i="3" s="1"/>
  <c r="U171" i="3"/>
  <c r="T171" i="3"/>
  <c r="S171" i="3" a="1"/>
  <c r="S171" i="3" s="1"/>
  <c r="R171" i="3"/>
  <c r="Q171" i="3"/>
  <c r="P171" i="3"/>
  <c r="U170" i="3"/>
  <c r="T170" i="3"/>
  <c r="S170" i="3" a="1"/>
  <c r="S170" i="3" s="1"/>
  <c r="R170" i="3"/>
  <c r="Q170" i="3"/>
  <c r="P170" i="3"/>
  <c r="U169" i="3"/>
  <c r="T169" i="3"/>
  <c r="S169" i="3" a="1"/>
  <c r="S169" i="3" s="1"/>
  <c r="R169" i="3"/>
  <c r="P169" i="3"/>
  <c r="Q169" i="3" s="1"/>
  <c r="U168" i="3"/>
  <c r="T168" i="3"/>
  <c r="S168" i="3"/>
  <c r="S168" i="3" a="1"/>
  <c r="R168" i="3"/>
  <c r="P168" i="3"/>
  <c r="Q168" i="3" s="1"/>
  <c r="U167" i="3"/>
  <c r="T167" i="3"/>
  <c r="S167" i="3" a="1"/>
  <c r="S167" i="3" s="1"/>
  <c r="R167" i="3"/>
  <c r="P167" i="3"/>
  <c r="Q167" i="3" s="1"/>
  <c r="U166" i="3"/>
  <c r="T166" i="3"/>
  <c r="S166" i="3"/>
  <c r="S166" i="3" a="1"/>
  <c r="R166" i="3"/>
  <c r="P166" i="3"/>
  <c r="Q166" i="3" s="1"/>
  <c r="U165" i="3"/>
  <c r="T165" i="3"/>
  <c r="S165" i="3" a="1"/>
  <c r="S165" i="3" s="1"/>
  <c r="R165" i="3"/>
  <c r="Q165" i="3"/>
  <c r="P165" i="3"/>
  <c r="U164" i="3"/>
  <c r="T164" i="3"/>
  <c r="S164" i="3" a="1"/>
  <c r="S164" i="3" s="1"/>
  <c r="R164" i="3"/>
  <c r="P164" i="3"/>
  <c r="Q164" i="3" s="1"/>
  <c r="U163" i="3"/>
  <c r="T163" i="3"/>
  <c r="S163" i="3"/>
  <c r="S163" i="3" a="1"/>
  <c r="R163" i="3"/>
  <c r="P163" i="3"/>
  <c r="Q163" i="3" s="1"/>
  <c r="U162" i="3"/>
  <c r="T162" i="3"/>
  <c r="S162" i="3"/>
  <c r="S162" i="3" a="1"/>
  <c r="R162" i="3"/>
  <c r="P162" i="3"/>
  <c r="Q162" i="3" s="1"/>
  <c r="U161" i="3"/>
  <c r="T161" i="3"/>
  <c r="S161" i="3"/>
  <c r="S161" i="3" a="1"/>
  <c r="R161" i="3"/>
  <c r="P161" i="3"/>
  <c r="Q161" i="3" s="1"/>
  <c r="U160" i="3"/>
  <c r="T160" i="3"/>
  <c r="S160" i="3"/>
  <c r="S160" i="3" a="1"/>
  <c r="R160" i="3"/>
  <c r="Q160" i="3"/>
  <c r="P160" i="3"/>
  <c r="U159" i="3"/>
  <c r="T159" i="3"/>
  <c r="S159" i="3" a="1"/>
  <c r="S159" i="3" s="1"/>
  <c r="R159" i="3"/>
  <c r="Q159" i="3"/>
  <c r="P159" i="3"/>
  <c r="U158" i="3"/>
  <c r="T158" i="3"/>
  <c r="S158" i="3"/>
  <c r="S158" i="3" a="1"/>
  <c r="R158" i="3"/>
  <c r="Q158" i="3"/>
  <c r="P158" i="3"/>
  <c r="U157" i="3"/>
  <c r="T157" i="3"/>
  <c r="S157" i="3" a="1"/>
  <c r="S157" i="3" s="1"/>
  <c r="R157" i="3"/>
  <c r="Q157" i="3"/>
  <c r="P157" i="3"/>
  <c r="U156" i="3"/>
  <c r="T156" i="3"/>
  <c r="S156" i="3" a="1"/>
  <c r="S156" i="3" s="1"/>
  <c r="R156" i="3"/>
  <c r="P156" i="3"/>
  <c r="Q156" i="3" s="1"/>
  <c r="U155" i="3"/>
  <c r="T155" i="3"/>
  <c r="S155" i="3"/>
  <c r="S155" i="3" a="1"/>
  <c r="R155" i="3"/>
  <c r="P155" i="3"/>
  <c r="Q155" i="3" s="1"/>
  <c r="U154" i="3"/>
  <c r="T154" i="3"/>
  <c r="S154" i="3"/>
  <c r="S154" i="3" a="1"/>
  <c r="R154" i="3"/>
  <c r="P154" i="3"/>
  <c r="Q154" i="3" s="1"/>
  <c r="U153" i="3"/>
  <c r="T153" i="3"/>
  <c r="S153" i="3"/>
  <c r="S153" i="3" a="1"/>
  <c r="R153" i="3"/>
  <c r="P153" i="3"/>
  <c r="Q153" i="3" s="1"/>
  <c r="U152" i="3"/>
  <c r="T152" i="3"/>
  <c r="S152" i="3"/>
  <c r="S152" i="3" a="1"/>
  <c r="R152" i="3"/>
  <c r="Q152" i="3"/>
  <c r="P152" i="3"/>
  <c r="U151" i="3"/>
  <c r="T151" i="3"/>
  <c r="S151" i="3" a="1"/>
  <c r="S151" i="3" s="1"/>
  <c r="R151" i="3"/>
  <c r="Q151" i="3"/>
  <c r="P151" i="3"/>
  <c r="U150" i="3"/>
  <c r="T150" i="3"/>
  <c r="S150" i="3" a="1"/>
  <c r="S150" i="3" s="1"/>
  <c r="R150" i="3"/>
  <c r="Q150" i="3"/>
  <c r="P150" i="3"/>
  <c r="U149" i="3"/>
  <c r="T149" i="3"/>
  <c r="S149" i="3" a="1"/>
  <c r="S149" i="3" s="1"/>
  <c r="R149" i="3"/>
  <c r="Q149" i="3"/>
  <c r="P149" i="3"/>
  <c r="U148" i="3"/>
  <c r="T148" i="3"/>
  <c r="S148" i="3" a="1"/>
  <c r="S148" i="3" s="1"/>
  <c r="R148" i="3"/>
  <c r="P148" i="3"/>
  <c r="Q148" i="3" s="1"/>
  <c r="U147" i="3"/>
  <c r="T147" i="3"/>
  <c r="S147" i="3"/>
  <c r="S147" i="3" a="1"/>
  <c r="R147" i="3"/>
  <c r="P147" i="3"/>
  <c r="Q147" i="3" s="1"/>
  <c r="U146" i="3"/>
  <c r="T146" i="3"/>
  <c r="S146" i="3"/>
  <c r="S146" i="3" a="1"/>
  <c r="R146" i="3"/>
  <c r="P146" i="3"/>
  <c r="Q146" i="3" s="1"/>
  <c r="U145" i="3"/>
  <c r="T145" i="3"/>
  <c r="S145" i="3"/>
  <c r="S145" i="3" a="1"/>
  <c r="R145" i="3"/>
  <c r="P145" i="3"/>
  <c r="Q145" i="3" s="1"/>
  <c r="U144" i="3"/>
  <c r="T144" i="3"/>
  <c r="S144" i="3"/>
  <c r="S144" i="3" a="1"/>
  <c r="R144" i="3"/>
  <c r="Q144" i="3"/>
  <c r="P144" i="3"/>
  <c r="U143" i="3"/>
  <c r="T143" i="3"/>
  <c r="S143" i="3" a="1"/>
  <c r="S143" i="3" s="1"/>
  <c r="R143" i="3"/>
  <c r="Q143" i="3"/>
  <c r="P143" i="3"/>
  <c r="U142" i="3"/>
  <c r="T142" i="3"/>
  <c r="S142" i="3"/>
  <c r="S142" i="3" a="1"/>
  <c r="R142" i="3"/>
  <c r="Q142" i="3"/>
  <c r="P142" i="3"/>
  <c r="U141" i="3"/>
  <c r="T141" i="3"/>
  <c r="S141" i="3" a="1"/>
  <c r="S141" i="3" s="1"/>
  <c r="R141" i="3"/>
  <c r="Q141" i="3"/>
  <c r="P141" i="3"/>
  <c r="U140" i="3"/>
  <c r="T140" i="3"/>
  <c r="S140" i="3" a="1"/>
  <c r="S140" i="3" s="1"/>
  <c r="R140" i="3"/>
  <c r="P140" i="3"/>
  <c r="Q140" i="3" s="1"/>
  <c r="U139" i="3"/>
  <c r="T139" i="3"/>
  <c r="S139" i="3"/>
  <c r="S139" i="3" a="1"/>
  <c r="R139" i="3"/>
  <c r="P139" i="3"/>
  <c r="Q139" i="3" s="1"/>
  <c r="U138" i="3"/>
  <c r="T138" i="3"/>
  <c r="S138" i="3"/>
  <c r="S138" i="3" a="1"/>
  <c r="R138" i="3"/>
  <c r="P138" i="3"/>
  <c r="Q138" i="3" s="1"/>
  <c r="U137" i="3"/>
  <c r="T137" i="3"/>
  <c r="S137" i="3"/>
  <c r="S137" i="3" a="1"/>
  <c r="R137" i="3"/>
  <c r="P137" i="3"/>
  <c r="Q137" i="3" s="1"/>
  <c r="U136" i="3"/>
  <c r="T136" i="3"/>
  <c r="S136" i="3"/>
  <c r="S136" i="3" a="1"/>
  <c r="R136" i="3"/>
  <c r="Q136" i="3"/>
  <c r="P136" i="3"/>
  <c r="U135" i="3"/>
  <c r="T135" i="3"/>
  <c r="S135" i="3" a="1"/>
  <c r="S135" i="3" s="1"/>
  <c r="R135" i="3"/>
  <c r="Q135" i="3"/>
  <c r="P135" i="3"/>
  <c r="U134" i="3"/>
  <c r="T134" i="3"/>
  <c r="S134" i="3" a="1"/>
  <c r="S134" i="3" s="1"/>
  <c r="R134" i="3"/>
  <c r="Q134" i="3"/>
  <c r="P134" i="3"/>
  <c r="U133" i="3"/>
  <c r="T133" i="3"/>
  <c r="S133" i="3" a="1"/>
  <c r="S133" i="3" s="1"/>
  <c r="R133" i="3"/>
  <c r="Q133" i="3"/>
  <c r="P133" i="3"/>
  <c r="U132" i="3"/>
  <c r="T132" i="3"/>
  <c r="S132" i="3" a="1"/>
  <c r="S132" i="3" s="1"/>
  <c r="R132" i="3"/>
  <c r="P132" i="3"/>
  <c r="Q132" i="3" s="1"/>
  <c r="U131" i="3"/>
  <c r="T131" i="3"/>
  <c r="S131" i="3"/>
  <c r="S131" i="3" a="1"/>
  <c r="R131" i="3"/>
  <c r="P131" i="3"/>
  <c r="Q131" i="3" s="1"/>
  <c r="U130" i="3"/>
  <c r="T130" i="3"/>
  <c r="S130" i="3"/>
  <c r="S130" i="3" a="1"/>
  <c r="R130" i="3"/>
  <c r="P130" i="3"/>
  <c r="Q130" i="3" s="1"/>
  <c r="U129" i="3"/>
  <c r="T129" i="3"/>
  <c r="S129" i="3"/>
  <c r="S129" i="3" a="1"/>
  <c r="R129" i="3"/>
  <c r="P129" i="3"/>
  <c r="Q129" i="3" s="1"/>
  <c r="U128" i="3"/>
  <c r="T128" i="3"/>
  <c r="S128" i="3"/>
  <c r="S128" i="3" a="1"/>
  <c r="R128" i="3"/>
  <c r="Q128" i="3"/>
  <c r="P128" i="3"/>
  <c r="U127" i="3"/>
  <c r="T127" i="3"/>
  <c r="S127" i="3" a="1"/>
  <c r="S127" i="3" s="1"/>
  <c r="R127" i="3"/>
  <c r="Q127" i="3"/>
  <c r="P127" i="3"/>
  <c r="U126" i="3"/>
  <c r="T126" i="3"/>
  <c r="S126" i="3"/>
  <c r="S126" i="3" a="1"/>
  <c r="R126" i="3"/>
  <c r="Q126" i="3"/>
  <c r="P126" i="3"/>
  <c r="U125" i="3"/>
  <c r="T125" i="3"/>
  <c r="S125" i="3" a="1"/>
  <c r="S125" i="3" s="1"/>
  <c r="R125" i="3"/>
  <c r="Q125" i="3"/>
  <c r="P125" i="3"/>
  <c r="U124" i="3"/>
  <c r="T124" i="3"/>
  <c r="S124" i="3" a="1"/>
  <c r="S124" i="3" s="1"/>
  <c r="R124" i="3"/>
  <c r="P124" i="3"/>
  <c r="Q124" i="3" s="1"/>
  <c r="U123" i="3"/>
  <c r="T123" i="3"/>
  <c r="S123" i="3"/>
  <c r="S123" i="3" a="1"/>
  <c r="R123" i="3"/>
  <c r="P123" i="3"/>
  <c r="Q123" i="3" s="1"/>
  <c r="U122" i="3"/>
  <c r="T122" i="3"/>
  <c r="S122" i="3"/>
  <c r="S122" i="3" a="1"/>
  <c r="R122" i="3"/>
  <c r="P122" i="3"/>
  <c r="Q122" i="3" s="1"/>
  <c r="U121" i="3"/>
  <c r="T121" i="3"/>
  <c r="S121" i="3"/>
  <c r="S121" i="3" a="1"/>
  <c r="R121" i="3"/>
  <c r="P121" i="3"/>
  <c r="Q121" i="3" s="1"/>
  <c r="U120" i="3"/>
  <c r="T120" i="3"/>
  <c r="S120" i="3"/>
  <c r="S120" i="3" a="1"/>
  <c r="R120" i="3"/>
  <c r="Q120" i="3"/>
  <c r="P120" i="3"/>
  <c r="U119" i="3"/>
  <c r="T119" i="3"/>
  <c r="S119" i="3" a="1"/>
  <c r="S119" i="3" s="1"/>
  <c r="R119" i="3"/>
  <c r="Q119" i="3"/>
  <c r="P119" i="3"/>
  <c r="U118" i="3"/>
  <c r="T118" i="3"/>
  <c r="S118" i="3" a="1"/>
  <c r="S118" i="3" s="1"/>
  <c r="R118" i="3"/>
  <c r="Q118" i="3"/>
  <c r="P118" i="3"/>
  <c r="U117" i="3"/>
  <c r="T117" i="3"/>
  <c r="S117" i="3" a="1"/>
  <c r="S117" i="3" s="1"/>
  <c r="R117" i="3"/>
  <c r="Q117" i="3"/>
  <c r="P117" i="3"/>
  <c r="U116" i="3"/>
  <c r="T116" i="3"/>
  <c r="S116" i="3" a="1"/>
  <c r="S116" i="3" s="1"/>
  <c r="R116" i="3"/>
  <c r="P116" i="3"/>
  <c r="Q116" i="3" s="1"/>
  <c r="U115" i="3"/>
  <c r="T115" i="3"/>
  <c r="S115" i="3"/>
  <c r="S115" i="3" a="1"/>
  <c r="R115" i="3"/>
  <c r="P115" i="3"/>
  <c r="Q115" i="3" s="1"/>
  <c r="U114" i="3"/>
  <c r="T114" i="3"/>
  <c r="S114" i="3"/>
  <c r="S114" i="3" a="1"/>
  <c r="R114" i="3"/>
  <c r="P114" i="3"/>
  <c r="Q114" i="3" s="1"/>
  <c r="U113" i="3"/>
  <c r="T113" i="3"/>
  <c r="S113" i="3"/>
  <c r="S113" i="3" a="1"/>
  <c r="R113" i="3"/>
  <c r="P113" i="3"/>
  <c r="Q113" i="3" s="1"/>
  <c r="U112" i="3"/>
  <c r="T112" i="3"/>
  <c r="S112" i="3"/>
  <c r="S112" i="3" a="1"/>
  <c r="R112" i="3"/>
  <c r="Q112" i="3"/>
  <c r="P112" i="3"/>
  <c r="U111" i="3"/>
  <c r="T111" i="3"/>
  <c r="S111" i="3" a="1"/>
  <c r="S111" i="3" s="1"/>
  <c r="R111" i="3"/>
  <c r="Q111" i="3"/>
  <c r="P111" i="3"/>
  <c r="U110" i="3"/>
  <c r="T110" i="3"/>
  <c r="S110" i="3"/>
  <c r="S110" i="3" a="1"/>
  <c r="R110" i="3"/>
  <c r="Q110" i="3"/>
  <c r="P110" i="3"/>
  <c r="U109" i="3"/>
  <c r="T109" i="3"/>
  <c r="S109" i="3" a="1"/>
  <c r="S109" i="3" s="1"/>
  <c r="R109" i="3"/>
  <c r="Q109" i="3"/>
  <c r="P109" i="3"/>
  <c r="U108" i="3"/>
  <c r="T108" i="3"/>
  <c r="S108" i="3" a="1"/>
  <c r="S108" i="3" s="1"/>
  <c r="R108" i="3"/>
  <c r="P108" i="3"/>
  <c r="Q108" i="3" s="1"/>
  <c r="U107" i="3"/>
  <c r="T107" i="3"/>
  <c r="S107" i="3"/>
  <c r="S107" i="3" a="1"/>
  <c r="R107" i="3"/>
  <c r="P107" i="3"/>
  <c r="Q107" i="3" s="1"/>
  <c r="U106" i="3"/>
  <c r="T106" i="3"/>
  <c r="S106" i="3"/>
  <c r="S106" i="3" a="1"/>
  <c r="R106" i="3"/>
  <c r="P106" i="3"/>
  <c r="Q106" i="3" s="1"/>
  <c r="U105" i="3"/>
  <c r="T105" i="3"/>
  <c r="S105" i="3"/>
  <c r="S105" i="3" a="1"/>
  <c r="R105" i="3"/>
  <c r="P105" i="3"/>
  <c r="Q105" i="3" s="1"/>
  <c r="U104" i="3"/>
  <c r="T104" i="3"/>
  <c r="S104" i="3"/>
  <c r="S104" i="3" a="1"/>
  <c r="R104" i="3"/>
  <c r="Q104" i="3"/>
  <c r="P104" i="3"/>
  <c r="U103" i="3"/>
  <c r="T103" i="3"/>
  <c r="S103" i="3" a="1"/>
  <c r="S103" i="3" s="1"/>
  <c r="R103" i="3"/>
  <c r="Q103" i="3"/>
  <c r="P103" i="3"/>
  <c r="U102" i="3"/>
  <c r="T102" i="3"/>
  <c r="S102" i="3" a="1"/>
  <c r="S102" i="3" s="1"/>
  <c r="R102" i="3"/>
  <c r="Q102" i="3"/>
  <c r="P102" i="3"/>
  <c r="U101" i="3"/>
  <c r="T101" i="3"/>
  <c r="S101" i="3" a="1"/>
  <c r="S101" i="3" s="1"/>
  <c r="R101" i="3"/>
  <c r="Q101" i="3"/>
  <c r="P101" i="3"/>
  <c r="U100" i="3"/>
  <c r="T100" i="3"/>
  <c r="S100" i="3" a="1"/>
  <c r="S100" i="3" s="1"/>
  <c r="R100" i="3"/>
  <c r="P100" i="3"/>
  <c r="Q100" i="3" s="1"/>
  <c r="U99" i="3"/>
  <c r="T99" i="3"/>
  <c r="S99" i="3"/>
  <c r="S99" i="3" a="1"/>
  <c r="R99" i="3"/>
  <c r="P99" i="3"/>
  <c r="Q99" i="3" s="1"/>
  <c r="U98" i="3"/>
  <c r="T98" i="3"/>
  <c r="S98" i="3"/>
  <c r="S98" i="3" a="1"/>
  <c r="R98" i="3"/>
  <c r="P98" i="3"/>
  <c r="Q98" i="3" s="1"/>
  <c r="U97" i="3"/>
  <c r="T97" i="3"/>
  <c r="S97" i="3"/>
  <c r="S97" i="3" a="1"/>
  <c r="R97" i="3"/>
  <c r="P97" i="3"/>
  <c r="Q97" i="3" s="1"/>
  <c r="U96" i="3"/>
  <c r="T96" i="3"/>
  <c r="S96" i="3"/>
  <c r="S96" i="3" a="1"/>
  <c r="R96" i="3"/>
  <c r="Q96" i="3"/>
  <c r="P96" i="3"/>
  <c r="U95" i="3"/>
  <c r="T95" i="3"/>
  <c r="S95" i="3" a="1"/>
  <c r="S95" i="3" s="1"/>
  <c r="R95" i="3"/>
  <c r="Q95" i="3"/>
  <c r="P95" i="3"/>
  <c r="U94" i="3"/>
  <c r="T94" i="3"/>
  <c r="S94" i="3"/>
  <c r="S94" i="3" a="1"/>
  <c r="R94" i="3"/>
  <c r="Q94" i="3"/>
  <c r="P94" i="3"/>
  <c r="U93" i="3"/>
  <c r="T93" i="3"/>
  <c r="S93" i="3" a="1"/>
  <c r="S93" i="3" s="1"/>
  <c r="R93" i="3"/>
  <c r="Q93" i="3"/>
  <c r="P93" i="3"/>
  <c r="U92" i="3"/>
  <c r="T92" i="3"/>
  <c r="S92" i="3" a="1"/>
  <c r="S92" i="3" s="1"/>
  <c r="R92" i="3"/>
  <c r="P92" i="3"/>
  <c r="Q92" i="3" s="1"/>
  <c r="U91" i="3"/>
  <c r="T91" i="3"/>
  <c r="S91" i="3"/>
  <c r="S91" i="3" a="1"/>
  <c r="R91" i="3"/>
  <c r="P91" i="3"/>
  <c r="Q91" i="3" s="1"/>
  <c r="U90" i="3"/>
  <c r="T90" i="3"/>
  <c r="S90" i="3"/>
  <c r="S90" i="3" a="1"/>
  <c r="R90" i="3"/>
  <c r="P90" i="3"/>
  <c r="Q90" i="3" s="1"/>
  <c r="U89" i="3"/>
  <c r="T89" i="3"/>
  <c r="S89" i="3"/>
  <c r="S89" i="3" a="1"/>
  <c r="R89" i="3"/>
  <c r="P89" i="3"/>
  <c r="Q89" i="3" s="1"/>
  <c r="U88" i="3"/>
  <c r="T88" i="3"/>
  <c r="S88" i="3"/>
  <c r="S88" i="3" a="1"/>
  <c r="R88" i="3"/>
  <c r="Q88" i="3"/>
  <c r="P88" i="3"/>
  <c r="U87" i="3"/>
  <c r="T87" i="3"/>
  <c r="S87" i="3" a="1"/>
  <c r="S87" i="3" s="1"/>
  <c r="R87" i="3"/>
  <c r="Q87" i="3"/>
  <c r="P87" i="3"/>
  <c r="U86" i="3"/>
  <c r="T86" i="3"/>
  <c r="S86" i="3" a="1"/>
  <c r="S86" i="3" s="1"/>
  <c r="R86" i="3"/>
  <c r="Q86" i="3"/>
  <c r="P86" i="3"/>
  <c r="U85" i="3"/>
  <c r="T85" i="3"/>
  <c r="S85" i="3" a="1"/>
  <c r="S85" i="3" s="1"/>
  <c r="R85" i="3"/>
  <c r="Q85" i="3"/>
  <c r="P85" i="3"/>
  <c r="U84" i="3"/>
  <c r="T84" i="3"/>
  <c r="S84" i="3" a="1"/>
  <c r="S84" i="3" s="1"/>
  <c r="R84" i="3"/>
  <c r="P84" i="3"/>
  <c r="Q84" i="3" s="1"/>
  <c r="U83" i="3"/>
  <c r="T83" i="3"/>
  <c r="S83" i="3" a="1"/>
  <c r="S83" i="3" s="1"/>
  <c r="R83" i="3"/>
  <c r="P83" i="3"/>
  <c r="Q83" i="3" s="1"/>
  <c r="U82" i="3"/>
  <c r="T82" i="3"/>
  <c r="S82" i="3"/>
  <c r="S82" i="3" a="1"/>
  <c r="R82" i="3"/>
  <c r="P82" i="3"/>
  <c r="Q82" i="3" s="1"/>
  <c r="U81" i="3"/>
  <c r="T81" i="3"/>
  <c r="S81" i="3"/>
  <c r="S81" i="3" a="1"/>
  <c r="R81" i="3"/>
  <c r="P81" i="3"/>
  <c r="Q81" i="3" s="1"/>
  <c r="U80" i="3"/>
  <c r="T80" i="3"/>
  <c r="S80" i="3"/>
  <c r="S80" i="3" a="1"/>
  <c r="R80" i="3"/>
  <c r="Q80" i="3"/>
  <c r="P80" i="3"/>
  <c r="U79" i="3"/>
  <c r="T79" i="3"/>
  <c r="S79" i="3"/>
  <c r="S79" i="3" a="1"/>
  <c r="R79" i="3"/>
  <c r="Q79" i="3"/>
  <c r="P79" i="3"/>
  <c r="U78" i="3"/>
  <c r="T78" i="3"/>
  <c r="S78" i="3"/>
  <c r="S78" i="3" a="1"/>
  <c r="R78" i="3"/>
  <c r="Q78" i="3"/>
  <c r="P78" i="3"/>
  <c r="U77" i="3"/>
  <c r="T77" i="3"/>
  <c r="S77" i="3" a="1"/>
  <c r="S77" i="3" s="1"/>
  <c r="R77" i="3"/>
  <c r="Q77" i="3"/>
  <c r="P77" i="3"/>
  <c r="U76" i="3"/>
  <c r="T76" i="3"/>
  <c r="S76" i="3" a="1"/>
  <c r="S76" i="3" s="1"/>
  <c r="R76" i="3"/>
  <c r="Q76" i="3"/>
  <c r="P76" i="3"/>
  <c r="U75" i="3"/>
  <c r="T75" i="3"/>
  <c r="S75" i="3" a="1"/>
  <c r="S75" i="3" s="1"/>
  <c r="R75" i="3"/>
  <c r="P75" i="3"/>
  <c r="Q75" i="3" s="1"/>
  <c r="U74" i="3"/>
  <c r="T74" i="3"/>
  <c r="S74" i="3"/>
  <c r="S74" i="3" a="1"/>
  <c r="R74" i="3"/>
  <c r="P74" i="3"/>
  <c r="Q74" i="3" s="1"/>
  <c r="U73" i="3"/>
  <c r="T73" i="3"/>
  <c r="S73" i="3"/>
  <c r="S73" i="3" a="1"/>
  <c r="R73" i="3"/>
  <c r="P73" i="3"/>
  <c r="Q73" i="3" s="1"/>
  <c r="U72" i="3"/>
  <c r="T72" i="3"/>
  <c r="S72" i="3"/>
  <c r="S72" i="3" a="1"/>
  <c r="R72" i="3"/>
  <c r="Q72" i="3"/>
  <c r="P72" i="3"/>
  <c r="U71" i="3"/>
  <c r="T71" i="3"/>
  <c r="S71" i="3" a="1"/>
  <c r="S71" i="3" s="1"/>
  <c r="R71" i="3"/>
  <c r="Q71" i="3"/>
  <c r="P71" i="3"/>
  <c r="U70" i="3"/>
  <c r="T70" i="3"/>
  <c r="S70" i="3" a="1"/>
  <c r="S70" i="3" s="1"/>
  <c r="R70" i="3"/>
  <c r="Q70" i="3"/>
  <c r="P70" i="3"/>
  <c r="U69" i="3"/>
  <c r="T69" i="3"/>
  <c r="S69" i="3" a="1"/>
  <c r="S69" i="3" s="1"/>
  <c r="R69" i="3"/>
  <c r="Q69" i="3"/>
  <c r="P69" i="3"/>
  <c r="U68" i="3"/>
  <c r="T68" i="3"/>
  <c r="S68" i="3" a="1"/>
  <c r="S68" i="3" s="1"/>
  <c r="R68" i="3"/>
  <c r="P68" i="3"/>
  <c r="Q68" i="3" s="1"/>
  <c r="U67" i="3"/>
  <c r="T67" i="3"/>
  <c r="S67" i="3" a="1"/>
  <c r="S67" i="3" s="1"/>
  <c r="R67" i="3"/>
  <c r="P67" i="3"/>
  <c r="Q67" i="3" s="1"/>
  <c r="U66" i="3"/>
  <c r="T66" i="3"/>
  <c r="S66" i="3"/>
  <c r="S66" i="3" a="1"/>
  <c r="R66" i="3"/>
  <c r="P66" i="3"/>
  <c r="Q66" i="3" s="1"/>
  <c r="U65" i="3"/>
  <c r="T65" i="3"/>
  <c r="S65" i="3"/>
  <c r="S65" i="3" a="1"/>
  <c r="R65" i="3"/>
  <c r="P65" i="3"/>
  <c r="Q65" i="3" s="1"/>
  <c r="U64" i="3"/>
  <c r="T64" i="3"/>
  <c r="S64" i="3"/>
  <c r="S64" i="3" a="1"/>
  <c r="R64" i="3"/>
  <c r="Q64" i="3"/>
  <c r="P64" i="3"/>
  <c r="U63" i="3"/>
  <c r="T63" i="3"/>
  <c r="S63" i="3" a="1"/>
  <c r="S63" i="3" s="1"/>
  <c r="R63" i="3"/>
  <c r="Q63" i="3"/>
  <c r="P63" i="3"/>
  <c r="U62" i="3"/>
  <c r="T62" i="3"/>
  <c r="S62" i="3" a="1"/>
  <c r="S62" i="3" s="1"/>
  <c r="R62" i="3"/>
  <c r="Q62" i="3"/>
  <c r="P62" i="3"/>
  <c r="U61" i="3"/>
  <c r="T61" i="3"/>
  <c r="S61" i="3"/>
  <c r="S61" i="3" a="1"/>
  <c r="R61" i="3"/>
  <c r="Q61" i="3"/>
  <c r="P61" i="3"/>
  <c r="U60" i="3"/>
  <c r="T60" i="3"/>
  <c r="S60" i="3" a="1"/>
  <c r="S60" i="3" s="1"/>
  <c r="R60" i="3"/>
  <c r="P60" i="3"/>
  <c r="Q60" i="3" s="1"/>
  <c r="U59" i="3"/>
  <c r="T59" i="3"/>
  <c r="S59" i="3" a="1"/>
  <c r="S59" i="3" s="1"/>
  <c r="R59" i="3"/>
  <c r="P59" i="3"/>
  <c r="Q59" i="3" s="1"/>
  <c r="U58" i="3"/>
  <c r="T58" i="3"/>
  <c r="S58" i="3"/>
  <c r="S58" i="3" a="1"/>
  <c r="R58" i="3"/>
  <c r="P58" i="3"/>
  <c r="Q58" i="3" s="1"/>
  <c r="U57" i="3"/>
  <c r="T57" i="3"/>
  <c r="S57" i="3"/>
  <c r="S57" i="3" a="1"/>
  <c r="R57" i="3"/>
  <c r="P57" i="3"/>
  <c r="Q57" i="3" s="1"/>
  <c r="U56" i="3"/>
  <c r="T56" i="3"/>
  <c r="S56" i="3"/>
  <c r="S56" i="3" a="1"/>
  <c r="R56" i="3"/>
  <c r="P56" i="3"/>
  <c r="Q56" i="3" s="1"/>
  <c r="U55" i="3"/>
  <c r="T55" i="3"/>
  <c r="S55" i="3" a="1"/>
  <c r="S55" i="3" s="1"/>
  <c r="R55" i="3"/>
  <c r="Q55" i="3"/>
  <c r="P55" i="3"/>
  <c r="U54" i="3"/>
  <c r="T54" i="3"/>
  <c r="S54" i="3" a="1"/>
  <c r="S54" i="3" s="1"/>
  <c r="R54" i="3"/>
  <c r="Q54" i="3"/>
  <c r="P54" i="3"/>
  <c r="U53" i="3"/>
  <c r="T53" i="3"/>
  <c r="S53" i="3" a="1"/>
  <c r="S53" i="3" s="1"/>
  <c r="R53" i="3"/>
  <c r="Q53" i="3"/>
  <c r="P53" i="3"/>
  <c r="U52" i="3"/>
  <c r="T52" i="3"/>
  <c r="S52" i="3" a="1"/>
  <c r="S52" i="3" s="1"/>
  <c r="R52" i="3"/>
  <c r="P52" i="3"/>
  <c r="Q52" i="3" s="1"/>
  <c r="U51" i="3"/>
  <c r="T51" i="3"/>
  <c r="S51" i="3" a="1"/>
  <c r="S51" i="3" s="1"/>
  <c r="R51" i="3"/>
  <c r="P51" i="3"/>
  <c r="Q51" i="3" s="1"/>
  <c r="U50" i="3"/>
  <c r="T50" i="3"/>
  <c r="S50" i="3"/>
  <c r="S50" i="3" a="1"/>
  <c r="R50" i="3"/>
  <c r="P50" i="3"/>
  <c r="Q50" i="3" s="1"/>
  <c r="U49" i="3"/>
  <c r="T49" i="3"/>
  <c r="S49" i="3"/>
  <c r="S49" i="3" a="1"/>
  <c r="R49" i="3"/>
  <c r="P49" i="3"/>
  <c r="Q49" i="3" s="1"/>
  <c r="U48" i="3"/>
  <c r="T48" i="3"/>
  <c r="S48" i="3"/>
  <c r="S48" i="3" a="1"/>
  <c r="R48" i="3"/>
  <c r="P48" i="3"/>
  <c r="Q48" i="3" s="1"/>
  <c r="U47" i="3"/>
  <c r="T47" i="3"/>
  <c r="S47" i="3" a="1"/>
  <c r="S47" i="3" s="1"/>
  <c r="R47" i="3"/>
  <c r="Q47" i="3"/>
  <c r="P47" i="3"/>
  <c r="U46" i="3"/>
  <c r="T46" i="3"/>
  <c r="S46" i="3" a="1"/>
  <c r="S46" i="3" s="1"/>
  <c r="R46" i="3"/>
  <c r="Q46" i="3"/>
  <c r="P46" i="3"/>
  <c r="U45" i="3"/>
  <c r="T45" i="3"/>
  <c r="S45" i="3"/>
  <c r="S45" i="3" a="1"/>
  <c r="R45" i="3"/>
  <c r="Q45" i="3"/>
  <c r="P45" i="3"/>
  <c r="U44" i="3"/>
  <c r="T44" i="3"/>
  <c r="S44" i="3" a="1"/>
  <c r="S44" i="3" s="1"/>
  <c r="R44" i="3"/>
  <c r="P44" i="3"/>
  <c r="Q44" i="3" s="1"/>
  <c r="U43" i="3"/>
  <c r="T43" i="3"/>
  <c r="S43" i="3" a="1"/>
  <c r="S43" i="3" s="1"/>
  <c r="R43" i="3"/>
  <c r="P43" i="3"/>
  <c r="Q43" i="3" s="1"/>
  <c r="U42" i="3"/>
  <c r="T42" i="3"/>
  <c r="S42" i="3"/>
  <c r="S42" i="3" a="1"/>
  <c r="R42" i="3"/>
  <c r="P42" i="3"/>
  <c r="Q42" i="3" s="1"/>
  <c r="U41" i="3"/>
  <c r="T41" i="3"/>
  <c r="S41" i="3"/>
  <c r="S41" i="3" a="1"/>
  <c r="R41" i="3"/>
  <c r="P41" i="3"/>
  <c r="Q41" i="3" s="1"/>
  <c r="U40" i="3"/>
  <c r="T40" i="3"/>
  <c r="S40" i="3"/>
  <c r="S40" i="3" a="1"/>
  <c r="R40" i="3"/>
  <c r="P40" i="3"/>
  <c r="Q40" i="3" s="1"/>
  <c r="U39" i="3"/>
  <c r="T39" i="3"/>
  <c r="S39" i="3" a="1"/>
  <c r="S39" i="3" s="1"/>
  <c r="R39" i="3"/>
  <c r="Q39" i="3"/>
  <c r="P39" i="3"/>
  <c r="U38" i="3"/>
  <c r="T38" i="3"/>
  <c r="S38" i="3" a="1"/>
  <c r="S38" i="3" s="1"/>
  <c r="R38" i="3"/>
  <c r="Q38" i="3"/>
  <c r="P38" i="3"/>
  <c r="U37" i="3"/>
  <c r="T37" i="3"/>
  <c r="S37" i="3" a="1"/>
  <c r="S37" i="3" s="1"/>
  <c r="R37" i="3"/>
  <c r="Q37" i="3"/>
  <c r="P37" i="3"/>
  <c r="U36" i="3"/>
  <c r="T36" i="3"/>
  <c r="S36" i="3" a="1"/>
  <c r="S36" i="3" s="1"/>
  <c r="R36" i="3"/>
  <c r="P36" i="3"/>
  <c r="Q36" i="3" s="1"/>
  <c r="U35" i="3"/>
  <c r="T35" i="3"/>
  <c r="S35" i="3" a="1"/>
  <c r="S35" i="3" s="1"/>
  <c r="R35" i="3"/>
  <c r="P35" i="3"/>
  <c r="Q35" i="3" s="1"/>
  <c r="U34" i="3"/>
  <c r="T34" i="3"/>
  <c r="S34" i="3"/>
  <c r="S34" i="3" a="1"/>
  <c r="R34" i="3"/>
  <c r="P34" i="3"/>
  <c r="Q34" i="3" s="1"/>
  <c r="U33" i="3"/>
  <c r="T33" i="3"/>
  <c r="S33" i="3"/>
  <c r="S33" i="3" a="1"/>
  <c r="R33" i="3"/>
  <c r="P33" i="3"/>
  <c r="Q33" i="3" s="1"/>
  <c r="U32" i="3"/>
  <c r="T32" i="3"/>
  <c r="S32" i="3"/>
  <c r="S32" i="3" a="1"/>
  <c r="R32" i="3"/>
  <c r="P32" i="3"/>
  <c r="Q32" i="3" s="1"/>
  <c r="U31" i="3"/>
  <c r="T31" i="3"/>
  <c r="S31" i="3" a="1"/>
  <c r="S31" i="3" s="1"/>
  <c r="R31" i="3"/>
  <c r="Q31" i="3"/>
  <c r="P31" i="3"/>
  <c r="U30" i="3"/>
  <c r="T30" i="3"/>
  <c r="S30" i="3" a="1"/>
  <c r="S30" i="3" s="1"/>
  <c r="R30" i="3"/>
  <c r="Q30" i="3"/>
  <c r="P30" i="3"/>
  <c r="U29" i="3"/>
  <c r="T29" i="3"/>
  <c r="S29" i="3"/>
  <c r="S29" i="3" a="1"/>
  <c r="R29" i="3"/>
  <c r="Q29" i="3"/>
  <c r="P29" i="3"/>
  <c r="U28" i="3"/>
  <c r="T28" i="3"/>
  <c r="S28" i="3" a="1"/>
  <c r="S28" i="3" s="1"/>
  <c r="R28" i="3"/>
  <c r="P28" i="3"/>
  <c r="Q28" i="3" s="1"/>
  <c r="U27" i="3"/>
  <c r="T27" i="3"/>
  <c r="S27" i="3" a="1"/>
  <c r="S27" i="3" s="1"/>
  <c r="R27" i="3"/>
  <c r="Q27" i="3"/>
  <c r="P27" i="3"/>
  <c r="U26" i="3"/>
  <c r="T26" i="3"/>
  <c r="S26" i="3"/>
  <c r="S26" i="3" a="1"/>
  <c r="R26" i="3"/>
  <c r="P26" i="3"/>
  <c r="Q26" i="3" s="1"/>
  <c r="U25" i="3"/>
  <c r="T25" i="3"/>
  <c r="S25" i="3"/>
  <c r="S25" i="3" a="1"/>
  <c r="R25" i="3"/>
  <c r="P25" i="3"/>
  <c r="Q25" i="3" s="1"/>
  <c r="U24" i="3"/>
  <c r="T24" i="3"/>
  <c r="S24" i="3"/>
  <c r="S24" i="3" a="1"/>
  <c r="R24" i="3"/>
  <c r="P24" i="3"/>
  <c r="Q24" i="3" s="1"/>
  <c r="U23" i="3"/>
  <c r="T23" i="3"/>
  <c r="S23" i="3" a="1"/>
  <c r="S23" i="3" s="1"/>
  <c r="R23" i="3"/>
  <c r="Q23" i="3"/>
  <c r="P23" i="3"/>
  <c r="U22" i="3"/>
  <c r="T22" i="3"/>
  <c r="S22" i="3" a="1"/>
  <c r="S22" i="3" s="1"/>
  <c r="R22" i="3"/>
  <c r="Q22" i="3"/>
  <c r="P22" i="3"/>
  <c r="U21" i="3"/>
  <c r="T21" i="3"/>
  <c r="S21" i="3" a="1"/>
  <c r="S21" i="3" s="1"/>
  <c r="R21" i="3"/>
  <c r="Q21" i="3"/>
  <c r="P21" i="3"/>
  <c r="U20" i="3"/>
  <c r="T20" i="3"/>
  <c r="S20" i="3" a="1"/>
  <c r="S20" i="3" s="1"/>
  <c r="R20" i="3"/>
  <c r="P20" i="3"/>
  <c r="Q20" i="3" s="1"/>
  <c r="U19" i="3"/>
  <c r="T19" i="3"/>
  <c r="S19" i="3" a="1"/>
  <c r="S19" i="3" s="1"/>
  <c r="R19" i="3"/>
  <c r="P19" i="3"/>
  <c r="Q19" i="3" s="1"/>
  <c r="U18" i="3"/>
  <c r="T18" i="3"/>
  <c r="S18" i="3"/>
  <c r="S18" i="3" a="1"/>
  <c r="R18" i="3"/>
  <c r="P18" i="3"/>
  <c r="Q18" i="3" s="1"/>
  <c r="U17" i="3"/>
  <c r="T17" i="3"/>
  <c r="S17" i="3"/>
  <c r="S17" i="3" a="1"/>
  <c r="R17" i="3"/>
  <c r="P17" i="3"/>
  <c r="Q17" i="3" s="1"/>
  <c r="U16" i="3"/>
  <c r="T16" i="3"/>
  <c r="S16" i="3"/>
  <c r="S16" i="3" a="1"/>
  <c r="R16" i="3"/>
  <c r="P16" i="3"/>
  <c r="Q16" i="3" s="1"/>
  <c r="U15" i="3"/>
  <c r="T15" i="3"/>
  <c r="S15" i="3" a="1"/>
  <c r="S15" i="3" s="1"/>
  <c r="R15" i="3"/>
  <c r="Q15" i="3"/>
  <c r="P15" i="3"/>
  <c r="U14" i="3"/>
  <c r="T14" i="3"/>
  <c r="S14" i="3" a="1"/>
  <c r="S14" i="3" s="1"/>
  <c r="R14" i="3"/>
  <c r="Q14" i="3"/>
  <c r="P14" i="3"/>
  <c r="U13" i="3"/>
  <c r="T13" i="3"/>
  <c r="S13" i="3"/>
  <c r="S13" i="3" a="1"/>
  <c r="R13" i="3"/>
  <c r="Q13" i="3"/>
  <c r="P13" i="3"/>
  <c r="U12" i="3"/>
  <c r="T12" i="3"/>
  <c r="S12" i="3" a="1"/>
  <c r="S12" i="3" s="1"/>
  <c r="R12" i="3"/>
  <c r="P12" i="3"/>
  <c r="Q12" i="3" s="1"/>
  <c r="U11" i="3"/>
  <c r="T11" i="3"/>
  <c r="S11" i="3" a="1"/>
  <c r="S11" i="3" s="1"/>
  <c r="R11" i="3"/>
  <c r="P11" i="3"/>
  <c r="Q11" i="3" s="1"/>
  <c r="U10" i="3"/>
  <c r="T10" i="3"/>
  <c r="S10" i="3" a="1"/>
  <c r="S10" i="3" s="1"/>
  <c r="R10" i="3"/>
  <c r="P10" i="3"/>
  <c r="Q10" i="3" s="1"/>
  <c r="U9" i="3"/>
  <c r="T9" i="3"/>
  <c r="S9" i="3"/>
  <c r="S9" i="3" a="1"/>
  <c r="R9" i="3"/>
  <c r="P9" i="3"/>
  <c r="Q9" i="3" s="1"/>
  <c r="U8" i="3"/>
  <c r="T8" i="3"/>
  <c r="S8" i="3"/>
  <c r="S8" i="3" a="1"/>
  <c r="R8" i="3"/>
  <c r="Q8" i="3"/>
  <c r="P8" i="3"/>
  <c r="U7" i="3"/>
  <c r="T7" i="3"/>
  <c r="S7" i="3" a="1"/>
  <c r="S7" i="3" s="1"/>
  <c r="R7" i="3"/>
  <c r="Q7" i="3"/>
  <c r="P7" i="3"/>
  <c r="U6" i="3"/>
  <c r="T6" i="3"/>
  <c r="S6" i="3" a="1"/>
  <c r="S6" i="3" s="1"/>
  <c r="R6" i="3"/>
  <c r="Q6" i="3"/>
  <c r="P6" i="3"/>
  <c r="U5" i="3"/>
  <c r="T5" i="3"/>
  <c r="S5" i="3" a="1"/>
  <c r="S5" i="3" s="1"/>
  <c r="R5" i="3"/>
  <c r="Q5" i="3"/>
  <c r="P5" i="3"/>
  <c r="U4" i="3"/>
  <c r="T4" i="3"/>
  <c r="S4" i="3" a="1"/>
  <c r="S4" i="3" s="1"/>
  <c r="R4" i="3"/>
  <c r="P4" i="3"/>
  <c r="Q4" i="3" s="1"/>
  <c r="U3" i="3"/>
  <c r="T3" i="3"/>
  <c r="S3" i="3" a="1"/>
  <c r="S3" i="3" s="1"/>
  <c r="R3" i="3"/>
  <c r="P3" i="3"/>
  <c r="Q3" i="3" s="1"/>
  <c r="U2" i="3"/>
  <c r="T2" i="3"/>
  <c r="S2" i="3"/>
  <c r="S2" i="3" a="1"/>
  <c r="R2" i="3"/>
  <c r="P2" i="3"/>
  <c r="Q2" i="3" s="1"/>
  <c r="Y26" i="1"/>
  <c r="Y23" i="1"/>
  <c r="Y20" i="1"/>
  <c r="Z16" i="1"/>
  <c r="Y12" i="1"/>
  <c r="Y16" i="1"/>
  <c r="Y10" i="1" a="1"/>
  <c r="Y10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X8" i="1"/>
  <c r="Y6" i="1"/>
  <c r="X4" i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 a="1"/>
  <c r="S3" i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2" i="1" a="1"/>
  <c r="S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U502" i="3" l="1"/>
  <c r="U502" i="1"/>
  <c r="Q7" i="1"/>
  <c r="Q8" i="1"/>
  <c r="Q9" i="1"/>
  <c r="Q15" i="1"/>
  <c r="Q16" i="1"/>
  <c r="Q17" i="1"/>
  <c r="Q23" i="1"/>
  <c r="Q24" i="1"/>
  <c r="Q25" i="1"/>
  <c r="Q31" i="1"/>
  <c r="Q32" i="1"/>
  <c r="Q33" i="1"/>
  <c r="Q39" i="1"/>
  <c r="Q40" i="1"/>
  <c r="Q41" i="1"/>
  <c r="Q47" i="1"/>
  <c r="Q48" i="1"/>
  <c r="Q49" i="1"/>
  <c r="Q55" i="1"/>
  <c r="Q56" i="1"/>
  <c r="Q57" i="1"/>
  <c r="Q63" i="1"/>
  <c r="Q64" i="1"/>
  <c r="Q65" i="1"/>
  <c r="Q71" i="1"/>
  <c r="Q72" i="1"/>
  <c r="Q73" i="1"/>
  <c r="Q79" i="1"/>
  <c r="Q80" i="1"/>
  <c r="Q81" i="1"/>
  <c r="Q87" i="1"/>
  <c r="Q88" i="1"/>
  <c r="Q89" i="1"/>
  <c r="Q95" i="1"/>
  <c r="Q96" i="1"/>
  <c r="Q97" i="1"/>
  <c r="Q103" i="1"/>
  <c r="Q104" i="1"/>
  <c r="Q105" i="1"/>
  <c r="Q111" i="1"/>
  <c r="Q112" i="1"/>
  <c r="Q113" i="1"/>
  <c r="Q119" i="1"/>
  <c r="Q120" i="1"/>
  <c r="Q121" i="1"/>
  <c r="Q127" i="1"/>
  <c r="Q128" i="1"/>
  <c r="Q129" i="1"/>
  <c r="Q135" i="1"/>
  <c r="Q136" i="1"/>
  <c r="Q137" i="1"/>
  <c r="Q143" i="1"/>
  <c r="Q144" i="1"/>
  <c r="Q145" i="1"/>
  <c r="Q151" i="1"/>
  <c r="Q152" i="1"/>
  <c r="Q153" i="1"/>
  <c r="Q159" i="1"/>
  <c r="Q160" i="1"/>
  <c r="Q161" i="1"/>
  <c r="Q167" i="1"/>
  <c r="Q168" i="1"/>
  <c r="Q169" i="1"/>
  <c r="Q175" i="1"/>
  <c r="Q176" i="1"/>
  <c r="Q177" i="1"/>
  <c r="Q183" i="1"/>
  <c r="Q184" i="1"/>
  <c r="Q185" i="1"/>
  <c r="Q191" i="1"/>
  <c r="Q192" i="1"/>
  <c r="Q193" i="1"/>
  <c r="Q199" i="1"/>
  <c r="Q200" i="1"/>
  <c r="Q201" i="1"/>
  <c r="Q207" i="1"/>
  <c r="Q208" i="1"/>
  <c r="Q209" i="1"/>
  <c r="Q215" i="1"/>
  <c r="Q216" i="1"/>
  <c r="Q217" i="1"/>
  <c r="Q223" i="1"/>
  <c r="Q224" i="1"/>
  <c r="Q225" i="1"/>
  <c r="Q231" i="1"/>
  <c r="Q232" i="1"/>
  <c r="Q233" i="1"/>
  <c r="Q239" i="1"/>
  <c r="Q240" i="1"/>
  <c r="Q241" i="1"/>
  <c r="Q247" i="1"/>
  <c r="Q248" i="1"/>
  <c r="Q249" i="1"/>
  <c r="Q255" i="1"/>
  <c r="Q256" i="1"/>
  <c r="Q257" i="1"/>
  <c r="Q263" i="1"/>
  <c r="Q264" i="1"/>
  <c r="Q265" i="1"/>
  <c r="Q271" i="1"/>
  <c r="Q272" i="1"/>
  <c r="Q273" i="1"/>
  <c r="Q279" i="1"/>
  <c r="Q280" i="1"/>
  <c r="Q281" i="1"/>
  <c r="Q287" i="1"/>
  <c r="Q288" i="1"/>
  <c r="Q289" i="1"/>
  <c r="Q295" i="1"/>
  <c r="Q296" i="1"/>
  <c r="Q297" i="1"/>
  <c r="Q303" i="1"/>
  <c r="Q304" i="1"/>
  <c r="Q305" i="1"/>
  <c r="Q311" i="1"/>
  <c r="Q312" i="1"/>
  <c r="Q313" i="1"/>
  <c r="Q319" i="1"/>
  <c r="Q320" i="1"/>
  <c r="Q321" i="1"/>
  <c r="Q327" i="1"/>
  <c r="Q328" i="1"/>
  <c r="Q329" i="1"/>
  <c r="Q335" i="1"/>
  <c r="Q336" i="1"/>
  <c r="Q337" i="1"/>
  <c r="Q343" i="1"/>
  <c r="Q344" i="1"/>
  <c r="Q345" i="1"/>
  <c r="Q351" i="1"/>
  <c r="Q352" i="1"/>
  <c r="Q353" i="1"/>
  <c r="Q359" i="1"/>
  <c r="Q360" i="1"/>
  <c r="Q361" i="1"/>
  <c r="Q367" i="1"/>
  <c r="Q368" i="1"/>
  <c r="Q369" i="1"/>
  <c r="Q375" i="1"/>
  <c r="Q376" i="1"/>
  <c r="Q377" i="1"/>
  <c r="Q383" i="1"/>
  <c r="Q384" i="1"/>
  <c r="Q385" i="1"/>
  <c r="Q391" i="1"/>
  <c r="Q392" i="1"/>
  <c r="Q393" i="1"/>
  <c r="Q399" i="1"/>
  <c r="Q400" i="1"/>
  <c r="Q401" i="1"/>
  <c r="Q407" i="1"/>
  <c r="Q408" i="1"/>
  <c r="Q409" i="1"/>
  <c r="Q415" i="1"/>
  <c r="Q416" i="1"/>
  <c r="Q417" i="1"/>
  <c r="Q423" i="1"/>
  <c r="Q424" i="1"/>
  <c r="Q425" i="1"/>
  <c r="Q431" i="1"/>
  <c r="Q432" i="1"/>
  <c r="Q433" i="1"/>
  <c r="Q439" i="1"/>
  <c r="Q440" i="1"/>
  <c r="Q441" i="1"/>
  <c r="Q447" i="1"/>
  <c r="Q448" i="1"/>
  <c r="Q449" i="1"/>
  <c r="Q455" i="1"/>
  <c r="Q456" i="1"/>
  <c r="Q457" i="1"/>
  <c r="Q463" i="1"/>
  <c r="Q464" i="1"/>
  <c r="Q465" i="1"/>
  <c r="Q471" i="1"/>
  <c r="Q472" i="1"/>
  <c r="Q473" i="1"/>
  <c r="Q479" i="1"/>
  <c r="Q480" i="1"/>
  <c r="Q481" i="1"/>
  <c r="Q487" i="1"/>
  <c r="Q488" i="1"/>
  <c r="Q489" i="1"/>
  <c r="Q495" i="1"/>
  <c r="Q496" i="1"/>
  <c r="Q497" i="1"/>
  <c r="P3" i="1"/>
  <c r="Q3" i="1" s="1"/>
  <c r="P4" i="1"/>
  <c r="Q4" i="1" s="1"/>
  <c r="P5" i="1"/>
  <c r="Q5" i="1" s="1"/>
  <c r="P6" i="1"/>
  <c r="Q6" i="1" s="1"/>
  <c r="P7" i="1"/>
  <c r="P8" i="1"/>
  <c r="P9" i="1"/>
  <c r="P10" i="1"/>
  <c r="Q10" i="1" s="1"/>
  <c r="P11" i="1"/>
  <c r="Q11" i="1" s="1"/>
  <c r="P12" i="1"/>
  <c r="Q12" i="1" s="1"/>
  <c r="P13" i="1"/>
  <c r="Q13" i="1" s="1"/>
  <c r="P14" i="1"/>
  <c r="Q14" i="1" s="1"/>
  <c r="P15" i="1"/>
  <c r="P16" i="1"/>
  <c r="P17" i="1"/>
  <c r="P18" i="1"/>
  <c r="Q18" i="1" s="1"/>
  <c r="P19" i="1"/>
  <c r="Q19" i="1" s="1"/>
  <c r="P20" i="1"/>
  <c r="Q20" i="1" s="1"/>
  <c r="P21" i="1"/>
  <c r="Q21" i="1" s="1"/>
  <c r="P22" i="1"/>
  <c r="Q22" i="1" s="1"/>
  <c r="P23" i="1"/>
  <c r="P24" i="1"/>
  <c r="P25" i="1"/>
  <c r="P26" i="1"/>
  <c r="Q26" i="1" s="1"/>
  <c r="P27" i="1"/>
  <c r="Q27" i="1" s="1"/>
  <c r="P28" i="1"/>
  <c r="Q28" i="1" s="1"/>
  <c r="P29" i="1"/>
  <c r="Q29" i="1" s="1"/>
  <c r="P30" i="1"/>
  <c r="Q30" i="1" s="1"/>
  <c r="P31" i="1"/>
  <c r="P32" i="1"/>
  <c r="P33" i="1"/>
  <c r="P34" i="1"/>
  <c r="Q34" i="1" s="1"/>
  <c r="P35" i="1"/>
  <c r="Q35" i="1" s="1"/>
  <c r="P36" i="1"/>
  <c r="Q36" i="1" s="1"/>
  <c r="P37" i="1"/>
  <c r="Q37" i="1" s="1"/>
  <c r="P38" i="1"/>
  <c r="Q38" i="1" s="1"/>
  <c r="P39" i="1"/>
  <c r="P40" i="1"/>
  <c r="P41" i="1"/>
  <c r="P42" i="1"/>
  <c r="Q42" i="1" s="1"/>
  <c r="P43" i="1"/>
  <c r="Q43" i="1" s="1"/>
  <c r="P44" i="1"/>
  <c r="Q44" i="1" s="1"/>
  <c r="P45" i="1"/>
  <c r="Q45" i="1" s="1"/>
  <c r="P46" i="1"/>
  <c r="Q46" i="1" s="1"/>
  <c r="P47" i="1"/>
  <c r="P48" i="1"/>
  <c r="P49" i="1"/>
  <c r="P50" i="1"/>
  <c r="Q50" i="1" s="1"/>
  <c r="P51" i="1"/>
  <c r="Q51" i="1" s="1"/>
  <c r="P52" i="1"/>
  <c r="Q52" i="1" s="1"/>
  <c r="P53" i="1"/>
  <c r="Q53" i="1" s="1"/>
  <c r="P54" i="1"/>
  <c r="Q54" i="1" s="1"/>
  <c r="P55" i="1"/>
  <c r="P56" i="1"/>
  <c r="P57" i="1"/>
  <c r="P58" i="1"/>
  <c r="Q58" i="1" s="1"/>
  <c r="P59" i="1"/>
  <c r="Q59" i="1" s="1"/>
  <c r="P60" i="1"/>
  <c r="Q60" i="1" s="1"/>
  <c r="P61" i="1"/>
  <c r="Q61" i="1" s="1"/>
  <c r="P62" i="1"/>
  <c r="Q62" i="1" s="1"/>
  <c r="P63" i="1"/>
  <c r="P64" i="1"/>
  <c r="P65" i="1"/>
  <c r="P66" i="1"/>
  <c r="Q66" i="1" s="1"/>
  <c r="P67" i="1"/>
  <c r="Q67" i="1" s="1"/>
  <c r="P68" i="1"/>
  <c r="Q68" i="1" s="1"/>
  <c r="P69" i="1"/>
  <c r="Q69" i="1" s="1"/>
  <c r="P70" i="1"/>
  <c r="Q70" i="1" s="1"/>
  <c r="P71" i="1"/>
  <c r="P72" i="1"/>
  <c r="P73" i="1"/>
  <c r="P74" i="1"/>
  <c r="Q74" i="1" s="1"/>
  <c r="P75" i="1"/>
  <c r="Q75" i="1" s="1"/>
  <c r="P76" i="1"/>
  <c r="Q76" i="1" s="1"/>
  <c r="P77" i="1"/>
  <c r="Q77" i="1" s="1"/>
  <c r="P78" i="1"/>
  <c r="Q78" i="1" s="1"/>
  <c r="P79" i="1"/>
  <c r="P80" i="1"/>
  <c r="P81" i="1"/>
  <c r="P82" i="1"/>
  <c r="Q82" i="1" s="1"/>
  <c r="P83" i="1"/>
  <c r="Q83" i="1" s="1"/>
  <c r="P84" i="1"/>
  <c r="Q84" i="1" s="1"/>
  <c r="P85" i="1"/>
  <c r="Q85" i="1" s="1"/>
  <c r="P86" i="1"/>
  <c r="Q86" i="1" s="1"/>
  <c r="P87" i="1"/>
  <c r="P88" i="1"/>
  <c r="P89" i="1"/>
  <c r="P90" i="1"/>
  <c r="Q90" i="1" s="1"/>
  <c r="P91" i="1"/>
  <c r="Q91" i="1" s="1"/>
  <c r="P92" i="1"/>
  <c r="Q92" i="1" s="1"/>
  <c r="P93" i="1"/>
  <c r="Q93" i="1" s="1"/>
  <c r="P94" i="1"/>
  <c r="Q94" i="1" s="1"/>
  <c r="P95" i="1"/>
  <c r="P96" i="1"/>
  <c r="P97" i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P104" i="1"/>
  <c r="P105" i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P112" i="1"/>
  <c r="P113" i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P120" i="1"/>
  <c r="P121" i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P128" i="1"/>
  <c r="P129" i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P136" i="1"/>
  <c r="P137" i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P144" i="1"/>
  <c r="P145" i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P152" i="1"/>
  <c r="P153" i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P160" i="1"/>
  <c r="P161" i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P168" i="1"/>
  <c r="P169" i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P176" i="1"/>
  <c r="P177" i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P184" i="1"/>
  <c r="P185" i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P192" i="1"/>
  <c r="P193" i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P200" i="1"/>
  <c r="P201" i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P208" i="1"/>
  <c r="P209" i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P216" i="1"/>
  <c r="P217" i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P224" i="1"/>
  <c r="P225" i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P232" i="1"/>
  <c r="P233" i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P240" i="1"/>
  <c r="P241" i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P248" i="1"/>
  <c r="P249" i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P256" i="1"/>
  <c r="P257" i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P264" i="1"/>
  <c r="P265" i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P272" i="1"/>
  <c r="P273" i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P280" i="1"/>
  <c r="P281" i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P288" i="1"/>
  <c r="P289" i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P296" i="1"/>
  <c r="P297" i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P304" i="1"/>
  <c r="P305" i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P312" i="1"/>
  <c r="P313" i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P320" i="1"/>
  <c r="P321" i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P328" i="1"/>
  <c r="P329" i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P336" i="1"/>
  <c r="P337" i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P344" i="1"/>
  <c r="P345" i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P352" i="1"/>
  <c r="P353" i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P360" i="1"/>
  <c r="P361" i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P368" i="1"/>
  <c r="P369" i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P376" i="1"/>
  <c r="P377" i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P384" i="1"/>
  <c r="P385" i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P392" i="1"/>
  <c r="P393" i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P400" i="1"/>
  <c r="P401" i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P408" i="1"/>
  <c r="P409" i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P416" i="1"/>
  <c r="P417" i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P424" i="1"/>
  <c r="P425" i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P432" i="1"/>
  <c r="P433" i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P440" i="1"/>
  <c r="P441" i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P448" i="1"/>
  <c r="P449" i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P456" i="1"/>
  <c r="P457" i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P464" i="1"/>
  <c r="P465" i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P472" i="1"/>
  <c r="P473" i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P480" i="1"/>
  <c r="P481" i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P488" i="1"/>
  <c r="P489" i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P496" i="1"/>
  <c r="P497" i="1"/>
  <c r="P498" i="1"/>
  <c r="Q498" i="1" s="1"/>
  <c r="P499" i="1"/>
  <c r="Q499" i="1" s="1"/>
  <c r="P500" i="1"/>
  <c r="Q500" i="1" s="1"/>
  <c r="P501" i="1"/>
  <c r="Q501" i="1" s="1"/>
  <c r="P2" i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<sst xmlns="http://schemas.openxmlformats.org/spreadsheetml/2006/main" count="7217" uniqueCount="165">
  <si>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</si>
  <si>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</si>
  <si>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</si>
  <si>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</si>
  <si>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</si>
  <si>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</si>
  <si>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</si>
  <si>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</si>
  <si>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</si>
  <si>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</si>
  <si>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</si>
  <si>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</si>
  <si>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</si>
  <si>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</si>
  <si>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</si>
  <si>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</si>
  <si>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</si>
  <si>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</si>
  <si>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</si>
  <si>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</si>
  <si>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</si>
  <si>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</si>
  <si>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</si>
  <si>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</si>
  <si>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</si>
  <si>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</si>
  <si>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</si>
  <si>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</si>
  <si>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</si>
  <si>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</si>
  <si>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</si>
  <si>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</si>
  <si>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</si>
  <si>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</si>
  <si>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</si>
  <si>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</si>
  <si>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</si>
  <si>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</si>
  <si>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</si>
  <si>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</si>
  <si>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</si>
  <si>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</si>
  <si>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</si>
  <si>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</si>
  <si>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</si>
  <si>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</si>
  <si>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</si>
  <si>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</si>
  <si>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</si>
  <si>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</si>
  <si>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</si>
  <si>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</si>
  <si>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</si>
  <si>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</si>
  <si>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</si>
  <si>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</si>
  <si>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</si>
  <si>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</si>
  <si>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</si>
  <si>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</si>
  <si>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</si>
  <si>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</si>
  <si>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</si>
  <si>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</si>
  <si>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</si>
  <si>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</si>
  <si>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</si>
  <si>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</si>
  <si>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</si>
  <si>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</si>
  <si>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discount amount</t>
  </si>
  <si>
    <t>price after discount</t>
  </si>
  <si>
    <t>sell_status</t>
  </si>
  <si>
    <t>self_status1</t>
  </si>
  <si>
    <t>self_status2</t>
  </si>
  <si>
    <t>Total unit solds</t>
  </si>
  <si>
    <t>BrandA total unit sold</t>
  </si>
  <si>
    <t>Unit sold for</t>
  </si>
  <si>
    <t>GRAND TOTAL</t>
  </si>
  <si>
    <t>Total price</t>
  </si>
  <si>
    <t>GRAND TOTAL FOR</t>
  </si>
  <si>
    <t>city</t>
  </si>
  <si>
    <t>Total unit sold</t>
  </si>
  <si>
    <t>AVERAGE of UNIT Sold</t>
  </si>
  <si>
    <t>Grand Average of</t>
  </si>
  <si>
    <t xml:space="preserve">count  of unit sold </t>
  </si>
  <si>
    <t>NO of brand</t>
  </si>
  <si>
    <t xml:space="preserve">Brand </t>
  </si>
  <si>
    <t xml:space="preserve">unit sold greater than </t>
  </si>
  <si>
    <t>count</t>
  </si>
  <si>
    <t>no</t>
  </si>
  <si>
    <t>name</t>
  </si>
  <si>
    <t>sima</t>
  </si>
  <si>
    <t>soham</t>
  </si>
  <si>
    <t xml:space="preserve">sovan </t>
  </si>
  <si>
    <t>debjit</t>
  </si>
  <si>
    <t xml:space="preserve">grade </t>
  </si>
  <si>
    <t>a</t>
  </si>
  <si>
    <t>b</t>
  </si>
  <si>
    <t>c</t>
  </si>
  <si>
    <t>d</t>
  </si>
  <si>
    <t>syb1</t>
  </si>
  <si>
    <t xml:space="preserve">ben </t>
  </si>
  <si>
    <t>eng</t>
  </si>
  <si>
    <t>his</t>
  </si>
  <si>
    <t>math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</si>
  <si>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</si>
  <si>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</si>
  <si>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</si>
  <si>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</si>
  <si>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</si>
  <si>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</si>
  <si>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</si>
  <si>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</si>
  <si>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</si>
  <si>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</si>
  <si>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</si>
  <si>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</si>
  <si>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</si>
  <si>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</si>
  <si>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</si>
  <si>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</si>
  <si>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</si>
  <si>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</si>
  <si>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</si>
  <si>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apple</t>
  </si>
  <si>
    <t>banana</t>
  </si>
  <si>
    <t>grapes</t>
  </si>
  <si>
    <t>mango</t>
  </si>
  <si>
    <t>aritra</t>
  </si>
  <si>
    <t>mousam</t>
  </si>
  <si>
    <t>sovan</t>
  </si>
  <si>
    <t>123-456-231</t>
  </si>
  <si>
    <t>234-456-781</t>
  </si>
  <si>
    <t>654-899-988</t>
  </si>
  <si>
    <t>433-888-900</t>
  </si>
  <si>
    <t xml:space="preserve">last 3 digit </t>
  </si>
  <si>
    <t>code</t>
  </si>
  <si>
    <t xml:space="preserve">first name </t>
  </si>
  <si>
    <t xml:space="preserve">last name </t>
  </si>
  <si>
    <t>dey</t>
  </si>
  <si>
    <t>full name</t>
  </si>
  <si>
    <t>sovan dey</t>
  </si>
  <si>
    <t>soham dey</t>
  </si>
  <si>
    <t>debjit dey</t>
  </si>
  <si>
    <t>aritra dey</t>
  </si>
  <si>
    <t>mousam dey</t>
  </si>
  <si>
    <t>if discount percent is greater than 10 % display heavy otherwise normal</t>
  </si>
  <si>
    <t xml:space="preserve">if net sells is greater than equals to 7000 then display excellent if netsells &gt;= 4000 it will show good otherwise average </t>
  </si>
  <si>
    <t xml:space="preserve">find total net sells for electronics category </t>
  </si>
  <si>
    <t>find total netsells where category= electronics and sales chanel=website</t>
  </si>
  <si>
    <t xml:space="preserve">count the no of beauty product </t>
  </si>
  <si>
    <t>count order where a discount percent is &gt;15%</t>
  </si>
  <si>
    <t xml:space="preserve">discount percent </t>
  </si>
  <si>
    <t xml:space="preserve">discount status </t>
  </si>
  <si>
    <t>net sell status</t>
  </si>
  <si>
    <t xml:space="preserve">total net sells </t>
  </si>
  <si>
    <t>product category</t>
  </si>
  <si>
    <t>sales chanel</t>
  </si>
  <si>
    <t xml:space="preserve">product name </t>
  </si>
  <si>
    <t>product no</t>
  </si>
  <si>
    <t>order no</t>
  </si>
  <si>
    <t>count electronics order sold cod</t>
  </si>
  <si>
    <t xml:space="preserve">electronic orders </t>
  </si>
  <si>
    <t xml:space="preserve">order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</si>
</sst>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5" fillId="5" borderId="5" applyNumberFormat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4" fillId="8" borderId="0" applyNumberFormat="0" applyBorder="0" applyAlignment="0" applyProtection="0"/>
    <xf numFmtId="0" fontId="6" fillId="2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4" xfId="0" applyFont="1" applyBorder="1"/>
    <xf numFmtId="0" fontId="0" fillId="0" borderId="4" xfId="0" applyBorder="1"/>
    <xf numFmtId="0" fontId="2" fillId="3" borderId="1" xfId="1" applyFill="1" applyBorder="1" applyAlignment="1">
      <alignment horizontal="center"/>
    </xf>
    <xf numFmtId="0" fontId="2" fillId="2" borderId="0" xfId="1" applyFill="1" applyBorder="1"/>
    <xf numFmtId="0" fontId="2" fillId="2" borderId="1" xfId="1" applyFill="1" applyBorder="1"/>
    <xf numFmtId="0" fontId="4" fillId="8" borderId="1" xfId="6" applyBorder="1"/>
    <xf numFmtId="0" fontId="3" fillId="4" borderId="1" xfId="2" applyFill="1" applyBorder="1"/>
    <xf numFmtId="0" fontId="3" fillId="3" borderId="1" xfId="2" applyFill="1" applyBorder="1" applyAlignment="1">
      <alignment horizontal="center"/>
    </xf>
    <xf numFmtId="0" fontId="3" fillId="2" borderId="1" xfId="2" applyFill="1" applyBorder="1"/>
    <xf numFmtId="0" fontId="2" fillId="3" borderId="1" xfId="1" applyFill="1" applyBorder="1"/>
    <xf numFmtId="0" fontId="8" fillId="8" borderId="1" xfId="6" applyFont="1" applyBorder="1"/>
    <xf numFmtId="0" fontId="7" fillId="6" borderId="1" xfId="4" applyFont="1" applyBorder="1"/>
    <xf numFmtId="0" fontId="9" fillId="5" borderId="1" xfId="3" applyFont="1" applyBorder="1"/>
    <xf numFmtId="0" fontId="6" fillId="2" borderId="1" xfId="7" applyBorder="1"/>
    <xf numFmtId="0" fontId="6" fillId="7" borderId="1" xfId="5" applyBorder="1"/>
    <xf numFmtId="0" fontId="1" fillId="0" borderId="6" xfId="0" applyFont="1" applyBorder="1"/>
    <xf numFmtId="0" fontId="1" fillId="0" borderId="7" xfId="0" applyFont="1" applyBorder="1"/>
  </cellXfs>
  <cellStyles count="8">
    <cellStyle name="60% - Accent3" xfId="6" builtinId="40"/>
    <cellStyle name="Accent2" xfId="4" builtinId="33"/>
    <cellStyle name="Accent3" xfId="5" builtinId="37"/>
    <cellStyle name="Accent4" xfId="7" builtinId="41"/>
    <cellStyle name="Check Cell" xfId="3" builtinId="23"/>
    <cellStyle name="Heading 1" xfId="1" builtinId="16"/>
    <cellStyle name="Heading 2" xfId="2" builtinId="1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G502"/>
  <sheetViews>
    <sheetView topLeftCell="S18" zoomScale="137" workbookViewId="0">
      <selection activeCell="Y26" sqref="Y2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19" width="10.88671875" bestFit="1" customWidth="1"/>
    <col min="20" max="20" width="10.77734375" bestFit="1" customWidth="1"/>
    <col min="21" max="21" width="9.77734375" bestFit="1" customWidth="1"/>
    <col min="23" max="23" width="24.109375" bestFit="1" customWidth="1"/>
    <col min="24" max="24" width="19.33203125" bestFit="1" customWidth="1"/>
    <col min="25" max="25" width="17.77734375" bestFit="1" customWidth="1"/>
    <col min="26" max="26" width="27.5546875" bestFit="1" customWidth="1"/>
    <col min="28" max="28" width="9.77734375" bestFit="1" customWidth="1"/>
    <col min="32" max="32" width="10.88671875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4" t="s">
        <v>74</v>
      </c>
      <c r="U1" s="3" t="s">
        <v>79</v>
      </c>
      <c r="W1" s="1"/>
      <c r="X1" s="1"/>
      <c r="Y1" s="1"/>
      <c r="AE1" s="3" t="s">
        <v>10</v>
      </c>
      <c r="AF1" s="3" t="s">
        <v>4</v>
      </c>
      <c r="AG1" s="1" t="s">
        <v>90</v>
      </c>
    </row>
    <row r="2" spans="1:33" ht="17.399999999999999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5" t="str">
        <f>IF(L2&gt;5,"high",IF(L2=5,"medium","low"))</f>
        <v>high</v>
      </c>
      <c r="U2" s="1">
        <f>L2*M2</f>
        <v>19907.09</v>
      </c>
      <c r="W2" s="10" t="s">
        <v>75</v>
      </c>
      <c r="X2" s="11">
        <f>SUM(L2:L501)</f>
        <v>2553</v>
      </c>
      <c r="Y2" s="1"/>
      <c r="AE2" s="1" t="s">
        <v>21</v>
      </c>
      <c r="AF2" s="1" t="s">
        <v>15</v>
      </c>
      <c r="AG2" s="1">
        <v>1</v>
      </c>
    </row>
    <row r="3" spans="1:33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5" t="str">
        <f t="shared" ref="T3:T66" si="3">IF(L3&gt;5,"high",IF(L3=5,"medium","low"))</f>
        <v>high</v>
      </c>
      <c r="U3" s="1">
        <f t="shared" ref="U3:U66" si="4">L3*M3</f>
        <v>22727.07</v>
      </c>
      <c r="W3" s="1"/>
      <c r="X3" s="1"/>
      <c r="Y3" s="1"/>
      <c r="AE3" s="1" t="s">
        <v>28</v>
      </c>
      <c r="AF3" s="1" t="s">
        <v>22</v>
      </c>
      <c r="AG3" s="1">
        <v>2</v>
      </c>
    </row>
    <row r="4" spans="1:33" ht="19.8" x14ac:dyDescent="0.4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5" t="str">
        <f t="shared" si="3"/>
        <v>high</v>
      </c>
      <c r="U4" s="1">
        <f t="shared" si="4"/>
        <v>20846.04</v>
      </c>
      <c r="W4" s="12" t="s">
        <v>76</v>
      </c>
      <c r="X4" s="6">
        <f>SUMIF(K2:K501,"BrandA",L2:L501)</f>
        <v>511</v>
      </c>
      <c r="Y4" s="1"/>
      <c r="AE4" s="1" t="s">
        <v>33</v>
      </c>
      <c r="AF4" s="1" t="s">
        <v>15</v>
      </c>
      <c r="AG4" s="1">
        <v>3</v>
      </c>
    </row>
    <row r="5" spans="1:33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5" t="str">
        <f t="shared" si="3"/>
        <v>low</v>
      </c>
      <c r="U5" s="1">
        <f t="shared" si="4"/>
        <v>1008.79</v>
      </c>
      <c r="W5" s="1"/>
      <c r="X5" s="1"/>
      <c r="Y5" s="1"/>
      <c r="AE5" s="1" t="s">
        <v>45</v>
      </c>
      <c r="AF5" s="1" t="s">
        <v>34</v>
      </c>
      <c r="AG5" s="1">
        <v>4</v>
      </c>
    </row>
    <row r="6" spans="1:33" ht="19.8" x14ac:dyDescent="0.4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5" t="str">
        <f t="shared" si="3"/>
        <v>high</v>
      </c>
      <c r="U6" s="1">
        <f t="shared" si="4"/>
        <v>24580.289999999997</v>
      </c>
      <c r="W6" s="8" t="s">
        <v>77</v>
      </c>
      <c r="X6" s="6" t="s">
        <v>21</v>
      </c>
      <c r="Y6" s="6">
        <f>SUMIF(K1:K501,X6,L1:L501)</f>
        <v>511</v>
      </c>
      <c r="AE6" s="1" t="s">
        <v>47</v>
      </c>
      <c r="AF6" s="1" t="s">
        <v>37</v>
      </c>
      <c r="AG6" s="1">
        <v>5</v>
      </c>
    </row>
    <row r="7" spans="1:33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5" t="str">
        <f t="shared" si="3"/>
        <v>low</v>
      </c>
      <c r="U7" s="1">
        <f t="shared" si="4"/>
        <v>9568.6500000000015</v>
      </c>
      <c r="W7" s="1"/>
      <c r="X7" s="1"/>
      <c r="Y7" s="1"/>
      <c r="AF7" s="1" t="s">
        <v>40</v>
      </c>
      <c r="AG7" s="1">
        <v>6</v>
      </c>
    </row>
    <row r="8" spans="1:33" ht="19.8" x14ac:dyDescent="0.4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5" t="str">
        <f t="shared" si="3"/>
        <v>medium</v>
      </c>
      <c r="U8" s="1">
        <f t="shared" si="4"/>
        <v>15152.1</v>
      </c>
      <c r="W8" s="12" t="s">
        <v>78</v>
      </c>
      <c r="X8" s="6">
        <f>SUMPRODUCT(L1:L501,M1:M501)</f>
        <v>5134263.8099999949</v>
      </c>
      <c r="Y8" s="1"/>
      <c r="AF8" s="1" t="s">
        <v>34</v>
      </c>
      <c r="AG8" s="1">
        <v>7</v>
      </c>
    </row>
    <row r="9" spans="1:33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5" t="str">
        <f t="shared" si="3"/>
        <v>low</v>
      </c>
      <c r="U9" s="1">
        <f t="shared" si="4"/>
        <v>9243.32</v>
      </c>
      <c r="W9" s="1"/>
      <c r="X9" s="1"/>
      <c r="Y9" s="1"/>
      <c r="AF9" s="1" t="s">
        <v>46</v>
      </c>
      <c r="AG9" s="1">
        <v>8</v>
      </c>
    </row>
    <row r="10" spans="1:33" ht="19.8" x14ac:dyDescent="0.4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5" t="str">
        <f t="shared" si="3"/>
        <v>medium</v>
      </c>
      <c r="U10" s="1">
        <f t="shared" si="4"/>
        <v>5490.2</v>
      </c>
      <c r="W10" s="12" t="s">
        <v>80</v>
      </c>
      <c r="X10" s="6" t="s">
        <v>28</v>
      </c>
      <c r="Y10" s="6" cm="1">
        <f t="array" ref="Y10">SUMPRODUCT(L1:L501,M1:M501,--(K1:K501=X10))</f>
        <v>857002.84000000008</v>
      </c>
      <c r="AF10" s="1" t="s">
        <v>15</v>
      </c>
      <c r="AG10" s="1">
        <v>9</v>
      </c>
    </row>
    <row r="11" spans="1:33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5" t="str">
        <f t="shared" si="3"/>
        <v>medium</v>
      </c>
      <c r="U11" s="1">
        <f t="shared" si="4"/>
        <v>8903.3000000000011</v>
      </c>
      <c r="W11" s="1"/>
      <c r="X11" s="1"/>
      <c r="Y11" s="1"/>
      <c r="AF11" s="1" t="s">
        <v>16</v>
      </c>
      <c r="AG11" s="1">
        <v>10</v>
      </c>
    </row>
    <row r="12" spans="1:33" ht="19.8" x14ac:dyDescent="0.4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5" t="str">
        <f t="shared" si="3"/>
        <v>high</v>
      </c>
      <c r="U12" s="1">
        <f t="shared" si="4"/>
        <v>19231.5</v>
      </c>
      <c r="W12" s="8" t="s">
        <v>84</v>
      </c>
      <c r="X12" s="6" t="s">
        <v>33</v>
      </c>
      <c r="Y12" s="13">
        <f>AVERAGEIF(K2:K501,X12,L2:L501)</f>
        <v>5.2616822429906538</v>
      </c>
      <c r="AF12" s="1" t="s">
        <v>37</v>
      </c>
    </row>
    <row r="13" spans="1:33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5" t="str">
        <f t="shared" si="3"/>
        <v>high</v>
      </c>
      <c r="U13" s="1">
        <f t="shared" si="4"/>
        <v>1634.1000000000001</v>
      </c>
      <c r="W13" s="1"/>
      <c r="X13" s="1"/>
      <c r="Y13" s="1"/>
      <c r="AF13" s="1" t="s">
        <v>22</v>
      </c>
    </row>
    <row r="14" spans="1:33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5" t="str">
        <f t="shared" si="3"/>
        <v>high</v>
      </c>
      <c r="U14" s="1">
        <f t="shared" si="4"/>
        <v>25287.200000000001</v>
      </c>
      <c r="W14" s="1"/>
      <c r="X14" s="1"/>
      <c r="Y14" s="1"/>
    </row>
    <row r="15" spans="1:33" ht="19.8" x14ac:dyDescent="0.4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5" t="str">
        <f t="shared" si="3"/>
        <v>high</v>
      </c>
      <c r="U15" s="1">
        <f t="shared" si="4"/>
        <v>8594.16</v>
      </c>
      <c r="W15" s="8" t="s">
        <v>81</v>
      </c>
      <c r="X15" s="8" t="s">
        <v>10</v>
      </c>
      <c r="Y15" s="8" t="s">
        <v>82</v>
      </c>
      <c r="Z15" s="8" t="s">
        <v>83</v>
      </c>
    </row>
    <row r="16" spans="1:33" ht="19.8" x14ac:dyDescent="0.4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5" t="str">
        <f t="shared" si="3"/>
        <v>high</v>
      </c>
      <c r="U16" s="1">
        <f t="shared" si="4"/>
        <v>6350.31</v>
      </c>
      <c r="W16" s="9" t="s">
        <v>22</v>
      </c>
      <c r="X16" s="9" t="s">
        <v>45</v>
      </c>
      <c r="Y16" s="17">
        <f>SUMIFS(L2:L501,E2:E501,W16,K2:K501,X16)</f>
        <v>63</v>
      </c>
      <c r="Z16" s="8">
        <f>AVERAGEIFS(L2:L501,E2:E501,W16,K2:K501,X16)</f>
        <v>4.5</v>
      </c>
    </row>
    <row r="17" spans="1:25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5" t="str">
        <f t="shared" si="3"/>
        <v>high</v>
      </c>
      <c r="U17" s="1">
        <f t="shared" si="4"/>
        <v>4763.6000000000004</v>
      </c>
    </row>
    <row r="18" spans="1:25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5" t="str">
        <f t="shared" si="3"/>
        <v>low</v>
      </c>
      <c r="U18" s="1">
        <f t="shared" si="4"/>
        <v>509.82</v>
      </c>
    </row>
    <row r="19" spans="1:25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5" t="str">
        <f t="shared" si="3"/>
        <v>low</v>
      </c>
      <c r="U19" s="1">
        <f t="shared" si="4"/>
        <v>2165.81</v>
      </c>
    </row>
    <row r="20" spans="1:25" ht="21" x14ac:dyDescent="0.4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5" t="str">
        <f t="shared" si="3"/>
        <v>low</v>
      </c>
      <c r="U20" s="1">
        <f t="shared" si="4"/>
        <v>1980.6</v>
      </c>
      <c r="W20" s="15" t="s">
        <v>85</v>
      </c>
      <c r="X20" s="14" t="s">
        <v>45</v>
      </c>
      <c r="Y20" s="16">
        <f>COUNTIF(K2:K501,X20)</f>
        <v>104</v>
      </c>
    </row>
    <row r="21" spans="1:25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5" t="str">
        <f t="shared" si="3"/>
        <v>low</v>
      </c>
      <c r="U21" s="1">
        <f t="shared" si="4"/>
        <v>7918.62</v>
      </c>
    </row>
    <row r="22" spans="1:25" ht="19.8" x14ac:dyDescent="0.4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5" t="str">
        <f t="shared" si="3"/>
        <v>low</v>
      </c>
      <c r="U22" s="1">
        <f t="shared" si="4"/>
        <v>7084.74</v>
      </c>
      <c r="W22" s="8" t="s">
        <v>81</v>
      </c>
      <c r="X22" s="8" t="s">
        <v>10</v>
      </c>
      <c r="Y22" s="7" t="s">
        <v>86</v>
      </c>
    </row>
    <row r="23" spans="1:25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5" t="str">
        <f t="shared" si="3"/>
        <v>high</v>
      </c>
      <c r="U23" s="1">
        <f t="shared" si="4"/>
        <v>4766.0200000000004</v>
      </c>
      <c r="W23" s="9" t="s">
        <v>15</v>
      </c>
      <c r="X23" s="9" t="s">
        <v>45</v>
      </c>
      <c r="Y23" s="18">
        <f>COUNTIFS(E2:E501,W23,K2:K501,X23)</f>
        <v>13</v>
      </c>
    </row>
    <row r="24" spans="1:25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5" t="str">
        <f t="shared" si="3"/>
        <v>low</v>
      </c>
      <c r="U24" s="1">
        <f t="shared" si="4"/>
        <v>5603.48</v>
      </c>
    </row>
    <row r="25" spans="1:25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5" t="str">
        <f t="shared" si="3"/>
        <v>low</v>
      </c>
      <c r="U25" s="1">
        <f t="shared" si="4"/>
        <v>3606.31</v>
      </c>
      <c r="W25" t="s">
        <v>87</v>
      </c>
      <c r="X25" t="s">
        <v>88</v>
      </c>
      <c r="Y25" t="s">
        <v>89</v>
      </c>
    </row>
    <row r="26" spans="1:25" ht="21" x14ac:dyDescent="0.4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5" t="str">
        <f t="shared" si="3"/>
        <v>high</v>
      </c>
      <c r="U26" s="1">
        <f t="shared" si="4"/>
        <v>18113.64</v>
      </c>
      <c r="W26" s="14" t="s">
        <v>45</v>
      </c>
      <c r="X26">
        <v>5</v>
      </c>
      <c r="Y26">
        <f>COUNTIFS(K2:K501,W26,L2:L501,"&gt;"&amp;X26)</f>
        <v>45</v>
      </c>
    </row>
    <row r="27" spans="1:25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5" t="str">
        <f t="shared" si="3"/>
        <v>high</v>
      </c>
      <c r="U27" s="1">
        <f t="shared" si="4"/>
        <v>3998.61</v>
      </c>
    </row>
    <row r="28" spans="1:25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5" t="str">
        <f t="shared" si="3"/>
        <v>low</v>
      </c>
      <c r="U28" s="1">
        <f t="shared" si="4"/>
        <v>10797.45</v>
      </c>
    </row>
    <row r="29" spans="1:25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5" t="str">
        <f t="shared" si="3"/>
        <v>high</v>
      </c>
      <c r="U29" s="1">
        <f t="shared" si="4"/>
        <v>19239.78</v>
      </c>
    </row>
    <row r="30" spans="1:25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5" t="str">
        <f t="shared" si="3"/>
        <v>low</v>
      </c>
      <c r="U30" s="1">
        <f t="shared" si="4"/>
        <v>2278.41</v>
      </c>
    </row>
    <row r="31" spans="1:25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5" t="str">
        <f t="shared" si="3"/>
        <v>low</v>
      </c>
      <c r="U31" s="1">
        <f t="shared" si="4"/>
        <v>349.38</v>
      </c>
    </row>
    <row r="32" spans="1:25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5" t="str">
        <f t="shared" si="3"/>
        <v>medium</v>
      </c>
      <c r="U32" s="1">
        <f t="shared" si="4"/>
        <v>11478.25</v>
      </c>
    </row>
    <row r="33" spans="1:21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5" t="str">
        <f t="shared" si="3"/>
        <v>low</v>
      </c>
      <c r="U33" s="1">
        <f t="shared" si="4"/>
        <v>3002.96</v>
      </c>
    </row>
    <row r="34" spans="1:21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5" t="str">
        <f t="shared" si="3"/>
        <v>high</v>
      </c>
      <c r="U34" s="1">
        <f t="shared" si="4"/>
        <v>23542.26</v>
      </c>
    </row>
    <row r="35" spans="1:21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5" t="str">
        <f t="shared" si="3"/>
        <v>high</v>
      </c>
      <c r="U35" s="1">
        <f t="shared" si="4"/>
        <v>9177.5399999999991</v>
      </c>
    </row>
    <row r="36" spans="1:21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5" t="str">
        <f t="shared" si="3"/>
        <v>high</v>
      </c>
      <c r="U36" s="1">
        <f t="shared" si="4"/>
        <v>25652.48</v>
      </c>
    </row>
    <row r="37" spans="1:21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5" t="str">
        <f t="shared" si="3"/>
        <v>medium</v>
      </c>
      <c r="U37" s="1">
        <f t="shared" si="4"/>
        <v>11639.5</v>
      </c>
    </row>
    <row r="38" spans="1:21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5" t="str">
        <f t="shared" si="3"/>
        <v>low</v>
      </c>
      <c r="U38" s="1">
        <f t="shared" si="4"/>
        <v>3413.16</v>
      </c>
    </row>
    <row r="39" spans="1:21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5" t="str">
        <f t="shared" si="3"/>
        <v>high</v>
      </c>
      <c r="U39" s="1">
        <f t="shared" si="4"/>
        <v>4812.22</v>
      </c>
    </row>
    <row r="40" spans="1:21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5" t="str">
        <f t="shared" si="3"/>
        <v>high</v>
      </c>
      <c r="U40" s="1">
        <f t="shared" si="4"/>
        <v>16585.940000000002</v>
      </c>
    </row>
    <row r="41" spans="1:21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5" t="str">
        <f t="shared" si="3"/>
        <v>high</v>
      </c>
      <c r="U41" s="1">
        <f t="shared" si="4"/>
        <v>18499.5</v>
      </c>
    </row>
    <row r="42" spans="1:21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5" t="str">
        <f t="shared" si="3"/>
        <v>high</v>
      </c>
      <c r="U42" s="1">
        <f t="shared" si="4"/>
        <v>25270.400000000001</v>
      </c>
    </row>
    <row r="43" spans="1:21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5" t="str">
        <f t="shared" si="3"/>
        <v>low</v>
      </c>
      <c r="U43" s="1">
        <f t="shared" si="4"/>
        <v>4846.68</v>
      </c>
    </row>
    <row r="44" spans="1:21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5" t="str">
        <f t="shared" si="3"/>
        <v>medium</v>
      </c>
      <c r="U44" s="1">
        <f t="shared" si="4"/>
        <v>4681.75</v>
      </c>
    </row>
    <row r="45" spans="1:21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5" t="str">
        <f t="shared" si="3"/>
        <v>low</v>
      </c>
      <c r="U45" s="1">
        <f t="shared" si="4"/>
        <v>858.04</v>
      </c>
    </row>
    <row r="46" spans="1:21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5" t="str">
        <f t="shared" si="3"/>
        <v>low</v>
      </c>
      <c r="U46" s="1">
        <f t="shared" si="4"/>
        <v>2764.92</v>
      </c>
    </row>
    <row r="47" spans="1:21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5" t="str">
        <f t="shared" si="3"/>
        <v>high</v>
      </c>
      <c r="U47" s="1">
        <f t="shared" si="4"/>
        <v>3558.32</v>
      </c>
    </row>
    <row r="48" spans="1:21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5" t="str">
        <f t="shared" si="3"/>
        <v>low</v>
      </c>
      <c r="U48" s="1">
        <f t="shared" si="4"/>
        <v>1769.93</v>
      </c>
    </row>
    <row r="49" spans="1:21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5" t="str">
        <f t="shared" si="3"/>
        <v>medium</v>
      </c>
      <c r="U49" s="1">
        <f t="shared" si="4"/>
        <v>12332.4</v>
      </c>
    </row>
    <row r="50" spans="1:21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5" t="str">
        <f t="shared" si="3"/>
        <v>high</v>
      </c>
      <c r="U50" s="1">
        <f t="shared" si="4"/>
        <v>22547.22</v>
      </c>
    </row>
    <row r="51" spans="1:21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5" t="str">
        <f t="shared" si="3"/>
        <v>high</v>
      </c>
      <c r="U51" s="1">
        <f t="shared" si="4"/>
        <v>8102.64</v>
      </c>
    </row>
    <row r="52" spans="1:21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5" t="str">
        <f t="shared" si="3"/>
        <v>medium</v>
      </c>
      <c r="U52" s="1">
        <f t="shared" si="4"/>
        <v>5558.0999999999995</v>
      </c>
    </row>
    <row r="53" spans="1:21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5" t="str">
        <f t="shared" si="3"/>
        <v>low</v>
      </c>
      <c r="U53" s="1">
        <f t="shared" si="4"/>
        <v>8005.5599999999995</v>
      </c>
    </row>
    <row r="54" spans="1:21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5" t="str">
        <f t="shared" si="3"/>
        <v>medium</v>
      </c>
      <c r="U54" s="1">
        <f t="shared" si="4"/>
        <v>12670.35</v>
      </c>
    </row>
    <row r="55" spans="1:21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5" t="str">
        <f t="shared" si="3"/>
        <v>high</v>
      </c>
      <c r="U55" s="1">
        <f t="shared" si="4"/>
        <v>11428.96</v>
      </c>
    </row>
    <row r="56" spans="1:21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5" t="str">
        <f t="shared" si="3"/>
        <v>low</v>
      </c>
      <c r="U56" s="1">
        <f t="shared" si="4"/>
        <v>7446.38</v>
      </c>
    </row>
    <row r="57" spans="1:21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5" t="str">
        <f t="shared" si="3"/>
        <v>high</v>
      </c>
      <c r="U57" s="1">
        <f t="shared" si="4"/>
        <v>20416.32</v>
      </c>
    </row>
    <row r="58" spans="1:21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5" t="str">
        <f t="shared" si="3"/>
        <v>high</v>
      </c>
      <c r="U58" s="1">
        <f t="shared" si="4"/>
        <v>9110.9700000000012</v>
      </c>
    </row>
    <row r="59" spans="1:21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5" t="str">
        <f t="shared" si="3"/>
        <v>high</v>
      </c>
      <c r="U59" s="1">
        <f t="shared" si="4"/>
        <v>8565.6</v>
      </c>
    </row>
    <row r="60" spans="1:21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5" t="str">
        <f t="shared" si="3"/>
        <v>high</v>
      </c>
      <c r="U60" s="1">
        <f t="shared" si="4"/>
        <v>16978.88</v>
      </c>
    </row>
    <row r="61" spans="1:21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5" t="str">
        <f t="shared" si="3"/>
        <v>high</v>
      </c>
      <c r="U61" s="1">
        <f t="shared" si="4"/>
        <v>25026</v>
      </c>
    </row>
    <row r="62" spans="1:21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5" t="str">
        <f t="shared" si="3"/>
        <v>high</v>
      </c>
      <c r="U62" s="1">
        <f t="shared" si="4"/>
        <v>2236.92</v>
      </c>
    </row>
    <row r="63" spans="1:21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5" t="str">
        <f t="shared" si="3"/>
        <v>high</v>
      </c>
      <c r="U63" s="1">
        <f t="shared" si="4"/>
        <v>22554.720000000001</v>
      </c>
    </row>
    <row r="64" spans="1:21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5" t="str">
        <f t="shared" si="3"/>
        <v>high</v>
      </c>
      <c r="U64" s="1">
        <f t="shared" si="4"/>
        <v>15874.26</v>
      </c>
    </row>
    <row r="65" spans="1:21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5" t="str">
        <f t="shared" si="3"/>
        <v>low</v>
      </c>
      <c r="U65" s="1">
        <f t="shared" si="4"/>
        <v>2082.4</v>
      </c>
    </row>
    <row r="66" spans="1:21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5" t="str">
        <f t="shared" si="3"/>
        <v>low</v>
      </c>
      <c r="U66" s="1">
        <f t="shared" si="4"/>
        <v>5546.42</v>
      </c>
    </row>
    <row r="67" spans="1:21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O67*N67%</f>
        <v>1432.49</v>
      </c>
      <c r="Q67" s="1">
        <f t="shared" ref="Q67:Q130" si="6">O67-P67</f>
        <v>27217.309999999998</v>
      </c>
      <c r="R67" s="1" t="str">
        <f t="shared" ref="R67:R130" si="7">IF(L67&gt;=5,"high","low")</f>
        <v>high</v>
      </c>
      <c r="S67" s="1" t="str" cm="1">
        <f t="array" ref="S67">_xlfn.IFS(L67&gt;5,"high",L67=5,"medium",L67&lt;5,"low")</f>
        <v>high</v>
      </c>
      <c r="T67" s="5" t="str">
        <f t="shared" ref="T67:T130" si="8">IF(L67&gt;5,"high",IF(L67=5,"medium","low"))</f>
        <v>high</v>
      </c>
      <c r="U67" s="1">
        <f t="shared" ref="U67:U130" si="9">L67*M67</f>
        <v>30157.68</v>
      </c>
    </row>
    <row r="68" spans="1:21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42.091500000000003</v>
      </c>
      <c r="Q68" s="1">
        <f t="shared" si="6"/>
        <v>238.51850000000002</v>
      </c>
      <c r="R68" s="1" t="str">
        <f t="shared" si="7"/>
        <v>low</v>
      </c>
      <c r="S68" s="1" t="str" cm="1">
        <f t="array" ref="S68">_xlfn.IFS(L68&gt;5,"high",L68=5,"medium",L68&lt;5,"low")</f>
        <v>low</v>
      </c>
      <c r="T68" s="5" t="str">
        <f t="shared" si="8"/>
        <v>low</v>
      </c>
      <c r="U68" s="1">
        <f t="shared" si="9"/>
        <v>330.13</v>
      </c>
    </row>
    <row r="69" spans="1:21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0</v>
      </c>
      <c r="Q69" s="1">
        <f t="shared" si="6"/>
        <v>8283.9599999999991</v>
      </c>
      <c r="R69" s="1" t="str">
        <f t="shared" si="7"/>
        <v>high</v>
      </c>
      <c r="S69" s="1" t="str" cm="1">
        <f t="array" ref="S69">_xlfn.IFS(L69&gt;5,"high",L69=5,"medium",L69&lt;5,"low")</f>
        <v>high</v>
      </c>
      <c r="T69" s="5" t="str">
        <f t="shared" si="8"/>
        <v>high</v>
      </c>
      <c r="U69" s="1">
        <f t="shared" si="9"/>
        <v>8283.9600000000009</v>
      </c>
    </row>
    <row r="70" spans="1:21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523.53950000000009</v>
      </c>
      <c r="Q70" s="1">
        <f t="shared" si="6"/>
        <v>9947.2505000000001</v>
      </c>
      <c r="R70" s="1" t="str">
        <f t="shared" si="7"/>
        <v>high</v>
      </c>
      <c r="S70" s="1" t="str" cm="1">
        <f t="array" ref="S70">_xlfn.IFS(L70&gt;5,"high",L70=5,"medium",L70&lt;5,"low")</f>
        <v>high</v>
      </c>
      <c r="T70" s="5" t="str">
        <f t="shared" si="8"/>
        <v>high</v>
      </c>
      <c r="U70" s="1">
        <f t="shared" si="9"/>
        <v>11021.880000000001</v>
      </c>
    </row>
    <row r="71" spans="1:21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2311.7759999999998</v>
      </c>
      <c r="Q71" s="1">
        <f t="shared" si="6"/>
        <v>9247.1039999999994</v>
      </c>
      <c r="R71" s="1" t="str">
        <f t="shared" si="7"/>
        <v>low</v>
      </c>
      <c r="S71" s="1" t="str" cm="1">
        <f t="array" ref="S71">_xlfn.IFS(L71&gt;5,"high",L71=5,"medium",L71&lt;5,"low")</f>
        <v>low</v>
      </c>
      <c r="T71" s="5" t="str">
        <f t="shared" si="8"/>
        <v>low</v>
      </c>
      <c r="U71" s="1">
        <f t="shared" si="9"/>
        <v>14448.6</v>
      </c>
    </row>
    <row r="72" spans="1:21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549.29600000000005</v>
      </c>
      <c r="Q72" s="1">
        <f t="shared" si="6"/>
        <v>10436.624</v>
      </c>
      <c r="R72" s="1" t="str">
        <f t="shared" si="7"/>
        <v>low</v>
      </c>
      <c r="S72" s="1" t="str" cm="1">
        <f t="array" ref="S72">_xlfn.IFS(L72&gt;5,"high",L72=5,"medium",L72&lt;5,"low")</f>
        <v>low</v>
      </c>
      <c r="T72" s="5" t="str">
        <f t="shared" si="8"/>
        <v>low</v>
      </c>
      <c r="U72" s="1">
        <f t="shared" si="9"/>
        <v>11564.130000000001</v>
      </c>
    </row>
    <row r="73" spans="1:21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711.38850000000002</v>
      </c>
      <c r="Q73" s="1">
        <f t="shared" si="6"/>
        <v>4031.2015000000001</v>
      </c>
      <c r="R73" s="1" t="str">
        <f t="shared" si="7"/>
        <v>low</v>
      </c>
      <c r="S73" s="1" t="str" cm="1">
        <f t="array" ref="S73">_xlfn.IFS(L73&gt;5,"high",L73=5,"medium",L73&lt;5,"low")</f>
        <v>low</v>
      </c>
      <c r="T73" s="5" t="str">
        <f t="shared" si="8"/>
        <v>low</v>
      </c>
      <c r="U73" s="1">
        <f t="shared" si="9"/>
        <v>5579.5199999999995</v>
      </c>
    </row>
    <row r="74" spans="1:21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144.28650000000002</v>
      </c>
      <c r="Q74" s="1">
        <f t="shared" si="6"/>
        <v>2741.4434999999999</v>
      </c>
      <c r="R74" s="1" t="str">
        <f t="shared" si="7"/>
        <v>low</v>
      </c>
      <c r="S74" s="1" t="str" cm="1">
        <f t="array" ref="S74">_xlfn.IFS(L74&gt;5,"high",L74=5,"medium",L74&lt;5,"low")</f>
        <v>low</v>
      </c>
      <c r="T74" s="5" t="str">
        <f t="shared" si="8"/>
        <v>low</v>
      </c>
      <c r="U74" s="1">
        <f t="shared" si="9"/>
        <v>3037.61</v>
      </c>
    </row>
    <row r="75" spans="1:21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0</v>
      </c>
      <c r="Q75" s="1">
        <f t="shared" si="6"/>
        <v>6590.67</v>
      </c>
      <c r="R75" s="1" t="str">
        <f t="shared" si="7"/>
        <v>low</v>
      </c>
      <c r="S75" s="1" t="str" cm="1">
        <f t="array" ref="S75">_xlfn.IFS(L75&gt;5,"high",L75=5,"medium",L75&lt;5,"low")</f>
        <v>low</v>
      </c>
      <c r="T75" s="5" t="str">
        <f t="shared" si="8"/>
        <v>low</v>
      </c>
      <c r="U75" s="1">
        <f t="shared" si="9"/>
        <v>6590.67</v>
      </c>
    </row>
    <row r="76" spans="1:21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0</v>
      </c>
      <c r="Q76" s="1">
        <f t="shared" si="6"/>
        <v>8881.84</v>
      </c>
      <c r="R76" s="1" t="str">
        <f t="shared" si="7"/>
        <v>low</v>
      </c>
      <c r="S76" s="1" t="str" cm="1">
        <f t="array" ref="S76">_xlfn.IFS(L76&gt;5,"high",L76=5,"medium",L76&lt;5,"low")</f>
        <v>low</v>
      </c>
      <c r="T76" s="5" t="str">
        <f t="shared" si="8"/>
        <v>low</v>
      </c>
      <c r="U76" s="1">
        <f t="shared" si="9"/>
        <v>8881.84</v>
      </c>
    </row>
    <row r="77" spans="1:21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976.5440000000001</v>
      </c>
      <c r="Q77" s="1">
        <f t="shared" si="6"/>
        <v>3906.1760000000004</v>
      </c>
      <c r="R77" s="1" t="str">
        <f t="shared" si="7"/>
        <v>high</v>
      </c>
      <c r="S77" s="1" t="str" cm="1">
        <f t="array" ref="S77">_xlfn.IFS(L77&gt;5,"high",L77=5,"medium",L77&lt;5,"low")</f>
        <v>medium</v>
      </c>
      <c r="T77" s="5" t="str">
        <f t="shared" si="8"/>
        <v>medium</v>
      </c>
      <c r="U77" s="1">
        <f t="shared" si="9"/>
        <v>6103.4000000000005</v>
      </c>
    </row>
    <row r="78" spans="1:21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266.02600000000001</v>
      </c>
      <c r="Q78" s="1">
        <f t="shared" si="6"/>
        <v>2394.2340000000004</v>
      </c>
      <c r="R78" s="1" t="str">
        <f t="shared" si="7"/>
        <v>low</v>
      </c>
      <c r="S78" s="1" t="str" cm="1">
        <f t="array" ref="S78">_xlfn.IFS(L78&gt;5,"high",L78=5,"medium",L78&lt;5,"low")</f>
        <v>low</v>
      </c>
      <c r="T78" s="5" t="str">
        <f t="shared" si="8"/>
        <v>low</v>
      </c>
      <c r="U78" s="1">
        <f t="shared" si="9"/>
        <v>2955.84</v>
      </c>
    </row>
    <row r="79" spans="1:21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962.99699999999984</v>
      </c>
      <c r="Q79" s="1">
        <f t="shared" si="6"/>
        <v>5456.9830000000002</v>
      </c>
      <c r="R79" s="1" t="str">
        <f t="shared" si="7"/>
        <v>high</v>
      </c>
      <c r="S79" s="1" t="str" cm="1">
        <f t="array" ref="S79">_xlfn.IFS(L79&gt;5,"high",L79=5,"medium",L79&lt;5,"low")</f>
        <v>high</v>
      </c>
      <c r="T79" s="5" t="str">
        <f t="shared" si="8"/>
        <v>high</v>
      </c>
      <c r="U79" s="1">
        <f t="shared" si="9"/>
        <v>7552.92</v>
      </c>
    </row>
    <row r="80" spans="1:21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1461.06</v>
      </c>
      <c r="Q80" s="1">
        <f t="shared" si="6"/>
        <v>8279.34</v>
      </c>
      <c r="R80" s="1" t="str">
        <f t="shared" si="7"/>
        <v>high</v>
      </c>
      <c r="S80" s="1" t="str" cm="1">
        <f t="array" ref="S80">_xlfn.IFS(L80&gt;5,"high",L80=5,"medium",L80&lt;5,"low")</f>
        <v>medium</v>
      </c>
      <c r="T80" s="5" t="str">
        <f t="shared" si="8"/>
        <v>medium</v>
      </c>
      <c r="U80" s="1">
        <f t="shared" si="9"/>
        <v>11459.300000000001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70.807000000000002</v>
      </c>
      <c r="Q81" s="1">
        <f t="shared" si="6"/>
        <v>637.26300000000003</v>
      </c>
      <c r="R81" s="1" t="str">
        <f t="shared" si="7"/>
        <v>low</v>
      </c>
      <c r="S81" s="1" t="str" cm="1">
        <f t="array" ref="S81">_xlfn.IFS(L81&gt;5,"high",L81=5,"medium",L81&lt;5,"low")</f>
        <v>low</v>
      </c>
      <c r="T81" s="5" t="str">
        <f t="shared" si="8"/>
        <v>low</v>
      </c>
      <c r="U81" s="1">
        <f t="shared" si="9"/>
        <v>786.75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0</v>
      </c>
      <c r="Q82" s="1">
        <f t="shared" si="6"/>
        <v>21857.46</v>
      </c>
      <c r="R82" s="1" t="str">
        <f t="shared" si="7"/>
        <v>high</v>
      </c>
      <c r="S82" s="1" t="str" cm="1">
        <f t="array" ref="S82">_xlfn.IFS(L82&gt;5,"high",L82=5,"medium",L82&lt;5,"low")</f>
        <v>high</v>
      </c>
      <c r="T82" s="5" t="str">
        <f t="shared" si="8"/>
        <v>high</v>
      </c>
      <c r="U82" s="1">
        <f t="shared" si="9"/>
        <v>21857.46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0</v>
      </c>
      <c r="Q83" s="1">
        <f t="shared" si="6"/>
        <v>4510.1400000000003</v>
      </c>
      <c r="R83" s="1" t="str">
        <f t="shared" si="7"/>
        <v>high</v>
      </c>
      <c r="S83" s="1" t="str" cm="1">
        <f t="array" ref="S83">_xlfn.IFS(L83&gt;5,"high",L83=5,"medium",L83&lt;5,"low")</f>
        <v>high</v>
      </c>
      <c r="T83" s="5" t="str">
        <f t="shared" si="8"/>
        <v>high</v>
      </c>
      <c r="U83" s="1">
        <f t="shared" si="9"/>
        <v>4510.1400000000003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378.98900000000003</v>
      </c>
      <c r="Q84" s="1">
        <f t="shared" si="6"/>
        <v>7200.7909999999993</v>
      </c>
      <c r="R84" s="1" t="str">
        <f t="shared" si="7"/>
        <v>high</v>
      </c>
      <c r="S84" s="1" t="str" cm="1">
        <f t="array" ref="S84">_xlfn.IFS(L84&gt;5,"high",L84=5,"medium",L84&lt;5,"low")</f>
        <v>high</v>
      </c>
      <c r="T84" s="5" t="str">
        <f t="shared" si="8"/>
        <v>high</v>
      </c>
      <c r="U84" s="1">
        <f t="shared" si="9"/>
        <v>7978.72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686.51600000000008</v>
      </c>
      <c r="Q85" s="1">
        <f t="shared" si="6"/>
        <v>2746.0639999999999</v>
      </c>
      <c r="R85" s="1" t="str">
        <f t="shared" si="7"/>
        <v>low</v>
      </c>
      <c r="S85" s="1" t="str" cm="1">
        <f t="array" ref="S85">_xlfn.IFS(L85&gt;5,"high",L85=5,"medium",L85&lt;5,"low")</f>
        <v>low</v>
      </c>
      <c r="T85" s="5" t="str">
        <f t="shared" si="8"/>
        <v>low</v>
      </c>
      <c r="U85" s="1">
        <f t="shared" si="9"/>
        <v>4290.72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461.43000000000006</v>
      </c>
      <c r="Q86" s="1">
        <f t="shared" si="6"/>
        <v>1845.72</v>
      </c>
      <c r="R86" s="1" t="str">
        <f t="shared" si="7"/>
        <v>low</v>
      </c>
      <c r="S86" s="1" t="str" cm="1">
        <f t="array" ref="S86">_xlfn.IFS(L86&gt;5,"high",L86=5,"medium",L86&lt;5,"low")</f>
        <v>low</v>
      </c>
      <c r="T86" s="5" t="str">
        <f t="shared" si="8"/>
        <v>low</v>
      </c>
      <c r="U86" s="1">
        <f t="shared" si="9"/>
        <v>2883.94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331.87800000000004</v>
      </c>
      <c r="Q87" s="1">
        <f t="shared" si="6"/>
        <v>1327.5120000000002</v>
      </c>
      <c r="R87" s="1" t="str">
        <f t="shared" si="7"/>
        <v>low</v>
      </c>
      <c r="S87" s="1" t="str" cm="1">
        <f t="array" ref="S87">_xlfn.IFS(L87&gt;5,"high",L87=5,"medium",L87&lt;5,"low")</f>
        <v>low</v>
      </c>
      <c r="T87" s="5" t="str">
        <f t="shared" si="8"/>
        <v>low</v>
      </c>
      <c r="U87" s="1">
        <f t="shared" si="9"/>
        <v>2074.2399999999998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456.5625</v>
      </c>
      <c r="Q88" s="1">
        <f t="shared" si="6"/>
        <v>8674.6875</v>
      </c>
      <c r="R88" s="1" t="str">
        <f t="shared" si="7"/>
        <v>high</v>
      </c>
      <c r="S88" s="1" t="str" cm="1">
        <f t="array" ref="S88">_xlfn.IFS(L88&gt;5,"high",L88=5,"medium",L88&lt;5,"low")</f>
        <v>high</v>
      </c>
      <c r="T88" s="5" t="str">
        <f t="shared" si="8"/>
        <v>high</v>
      </c>
      <c r="U88" s="1">
        <f t="shared" si="9"/>
        <v>9611.84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1862.1120000000001</v>
      </c>
      <c r="Q89" s="1">
        <f t="shared" si="6"/>
        <v>7448.4479999999994</v>
      </c>
      <c r="R89" s="1" t="str">
        <f t="shared" si="7"/>
        <v>low</v>
      </c>
      <c r="S89" s="1" t="str" cm="1">
        <f t="array" ref="S89">_xlfn.IFS(L89&gt;5,"high",L89=5,"medium",L89&lt;5,"low")</f>
        <v>low</v>
      </c>
      <c r="T89" s="5" t="str">
        <f t="shared" si="8"/>
        <v>low</v>
      </c>
      <c r="U89" s="1">
        <f t="shared" si="9"/>
        <v>11638.2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313.20500000000004</v>
      </c>
      <c r="Q90" s="1">
        <f t="shared" si="6"/>
        <v>2818.8450000000003</v>
      </c>
      <c r="R90" s="1" t="str">
        <f t="shared" si="7"/>
        <v>low</v>
      </c>
      <c r="S90" s="1" t="str" cm="1">
        <f t="array" ref="S90">_xlfn.IFS(L90&gt;5,"high",L90=5,"medium",L90&lt;5,"low")</f>
        <v>low</v>
      </c>
      <c r="T90" s="5" t="str">
        <f t="shared" si="8"/>
        <v>low</v>
      </c>
      <c r="U90" s="1">
        <f t="shared" si="9"/>
        <v>3480.06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321.86950000000002</v>
      </c>
      <c r="Q91" s="1">
        <f t="shared" si="6"/>
        <v>6115.5205000000005</v>
      </c>
      <c r="R91" s="1" t="str">
        <f t="shared" si="7"/>
        <v>high</v>
      </c>
      <c r="S91" s="1" t="str" cm="1">
        <f t="array" ref="S91">_xlfn.IFS(L91&gt;5,"high",L91=5,"medium",L91&lt;5,"low")</f>
        <v>medium</v>
      </c>
      <c r="T91" s="5" t="str">
        <f t="shared" si="8"/>
        <v>medium</v>
      </c>
      <c r="U91" s="1">
        <f t="shared" si="9"/>
        <v>6776.2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1516.7340000000002</v>
      </c>
      <c r="Q92" s="1">
        <f t="shared" si="6"/>
        <v>13650.606</v>
      </c>
      <c r="R92" s="1" t="str">
        <f t="shared" si="7"/>
        <v>high</v>
      </c>
      <c r="S92" s="1" t="str" cm="1">
        <f t="array" ref="S92">_xlfn.IFS(L92&gt;5,"high",L92=5,"medium",L92&lt;5,"low")</f>
        <v>medium</v>
      </c>
      <c r="T92" s="5" t="str">
        <f t="shared" si="8"/>
        <v>medium</v>
      </c>
      <c r="U92" s="1">
        <f t="shared" si="9"/>
        <v>16852.599999999999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48.924500000000002</v>
      </c>
      <c r="Q93" s="1">
        <f t="shared" si="6"/>
        <v>929.56550000000004</v>
      </c>
      <c r="R93" s="1" t="str">
        <f t="shared" si="7"/>
        <v>low</v>
      </c>
      <c r="S93" s="1" t="str" cm="1">
        <f t="array" ref="S93">_xlfn.IFS(L93&gt;5,"high",L93=5,"medium",L93&lt;5,"low")</f>
        <v>low</v>
      </c>
      <c r="T93" s="5" t="str">
        <f t="shared" si="8"/>
        <v>low</v>
      </c>
      <c r="U93" s="1">
        <f t="shared" si="9"/>
        <v>1029.99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2791.8140000000003</v>
      </c>
      <c r="Q94" s="1">
        <f t="shared" si="6"/>
        <v>11167.255999999999</v>
      </c>
      <c r="R94" s="1" t="str">
        <f t="shared" si="7"/>
        <v>high</v>
      </c>
      <c r="S94" s="1" t="str" cm="1">
        <f t="array" ref="S94">_xlfn.IFS(L94&gt;5,"high",L94=5,"medium",L94&lt;5,"low")</f>
        <v>high</v>
      </c>
      <c r="T94" s="5" t="str">
        <f t="shared" si="8"/>
        <v>high</v>
      </c>
      <c r="U94" s="1">
        <f t="shared" si="9"/>
        <v>17448.84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580.14700000000005</v>
      </c>
      <c r="Q95" s="1">
        <f t="shared" si="6"/>
        <v>5221.3230000000003</v>
      </c>
      <c r="R95" s="1" t="str">
        <f t="shared" si="7"/>
        <v>low</v>
      </c>
      <c r="S95" s="1" t="str" cm="1">
        <f t="array" ref="S95">_xlfn.IFS(L95&gt;5,"high",L95=5,"medium",L95&lt;5,"low")</f>
        <v>low</v>
      </c>
      <c r="T95" s="5" t="str">
        <f t="shared" si="8"/>
        <v>low</v>
      </c>
      <c r="U95" s="1">
        <f t="shared" si="9"/>
        <v>6446.08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369.59200000000004</v>
      </c>
      <c r="Q96" s="1">
        <f t="shared" si="6"/>
        <v>3326.328</v>
      </c>
      <c r="R96" s="1" t="str">
        <f t="shared" si="7"/>
        <v>low</v>
      </c>
      <c r="S96" s="1" t="str" cm="1">
        <f t="array" ref="S96">_xlfn.IFS(L96&gt;5,"high",L96=5,"medium",L96&lt;5,"low")</f>
        <v>low</v>
      </c>
      <c r="T96" s="5" t="str">
        <f t="shared" si="8"/>
        <v>low</v>
      </c>
      <c r="U96" s="1">
        <f t="shared" si="9"/>
        <v>4106.58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224.989</v>
      </c>
      <c r="Q97" s="1">
        <f t="shared" si="6"/>
        <v>2024.9009999999998</v>
      </c>
      <c r="R97" s="1" t="str">
        <f t="shared" si="7"/>
        <v>low</v>
      </c>
      <c r="S97" s="1" t="str" cm="1">
        <f t="array" ref="S97">_xlfn.IFS(L97&gt;5,"high",L97=5,"medium",L97&lt;5,"low")</f>
        <v>low</v>
      </c>
      <c r="T97" s="5" t="str">
        <f t="shared" si="8"/>
        <v>low</v>
      </c>
      <c r="U97" s="1">
        <f t="shared" si="9"/>
        <v>2499.88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214.51500000000001</v>
      </c>
      <c r="Q98" s="1">
        <f t="shared" si="6"/>
        <v>4075.7850000000003</v>
      </c>
      <c r="R98" s="1" t="str">
        <f t="shared" si="7"/>
        <v>high</v>
      </c>
      <c r="S98" s="1" t="str" cm="1">
        <f t="array" ref="S98">_xlfn.IFS(L98&gt;5,"high",L98=5,"medium",L98&lt;5,"low")</f>
        <v>high</v>
      </c>
      <c r="T98" s="5" t="str">
        <f t="shared" si="8"/>
        <v>high</v>
      </c>
      <c r="U98" s="1">
        <f t="shared" si="9"/>
        <v>4516.1100000000006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694.66049999999996</v>
      </c>
      <c r="Q99" s="1">
        <f t="shared" si="6"/>
        <v>3936.4094999999998</v>
      </c>
      <c r="R99" s="1" t="str">
        <f t="shared" si="7"/>
        <v>low</v>
      </c>
      <c r="S99" s="1" t="str" cm="1">
        <f t="array" ref="S99">_xlfn.IFS(L99&gt;5,"high",L99=5,"medium",L99&lt;5,"low")</f>
        <v>low</v>
      </c>
      <c r="T99" s="5" t="str">
        <f t="shared" si="8"/>
        <v>low</v>
      </c>
      <c r="U99" s="1">
        <f t="shared" si="9"/>
        <v>5448.32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151.56</v>
      </c>
      <c r="Q100" s="1">
        <f t="shared" si="6"/>
        <v>606.24</v>
      </c>
      <c r="R100" s="1" t="str">
        <f t="shared" si="7"/>
        <v>low</v>
      </c>
      <c r="S100" s="1" t="str" cm="1">
        <f t="array" ref="S100">_xlfn.IFS(L100&gt;5,"high",L100=5,"medium",L100&lt;5,"low")</f>
        <v>low</v>
      </c>
      <c r="T100" s="5" t="str">
        <f t="shared" si="8"/>
        <v>low</v>
      </c>
      <c r="U100" s="1">
        <f t="shared" si="9"/>
        <v>947.25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1988.7270000000001</v>
      </c>
      <c r="Q101" s="1">
        <f t="shared" si="6"/>
        <v>17898.543000000001</v>
      </c>
      <c r="R101" s="1" t="str">
        <f t="shared" si="7"/>
        <v>high</v>
      </c>
      <c r="S101" s="1" t="str" cm="1">
        <f t="array" ref="S101">_xlfn.IFS(L101&gt;5,"high",L101=5,"medium",L101&lt;5,"low")</f>
        <v>high</v>
      </c>
      <c r="T101" s="5" t="str">
        <f t="shared" si="8"/>
        <v>high</v>
      </c>
      <c r="U101" s="1">
        <f t="shared" si="9"/>
        <v>22096.97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1716.8430000000001</v>
      </c>
      <c r="Q102" s="1">
        <f t="shared" si="6"/>
        <v>9728.777</v>
      </c>
      <c r="R102" s="1" t="str">
        <f t="shared" si="7"/>
        <v>high</v>
      </c>
      <c r="S102" s="1" t="str" cm="1">
        <f t="array" ref="S102">_xlfn.IFS(L102&gt;5,"high",L102=5,"medium",L102&lt;5,"low")</f>
        <v>high</v>
      </c>
      <c r="T102" s="5" t="str">
        <f t="shared" si="8"/>
        <v>high</v>
      </c>
      <c r="U102" s="1">
        <f t="shared" si="9"/>
        <v>13465.44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594.89</v>
      </c>
      <c r="Q103" s="1">
        <f t="shared" si="6"/>
        <v>2379.56</v>
      </c>
      <c r="R103" s="1" t="str">
        <f t="shared" si="7"/>
        <v>low</v>
      </c>
      <c r="S103" s="1" t="str" cm="1">
        <f t="array" ref="S103">_xlfn.IFS(L103&gt;5,"high",L103=5,"medium",L103&lt;5,"low")</f>
        <v>low</v>
      </c>
      <c r="T103" s="5" t="str">
        <f t="shared" si="8"/>
        <v>low</v>
      </c>
      <c r="U103" s="1">
        <f t="shared" si="9"/>
        <v>3718.06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4021.1800000000003</v>
      </c>
      <c r="Q104" s="1">
        <f t="shared" si="6"/>
        <v>16084.720000000001</v>
      </c>
      <c r="R104" s="1" t="str">
        <f t="shared" si="7"/>
        <v>high</v>
      </c>
      <c r="S104" s="1" t="str" cm="1">
        <f t="array" ref="S104">_xlfn.IFS(L104&gt;5,"high",L104=5,"medium",L104&lt;5,"low")</f>
        <v>high</v>
      </c>
      <c r="T104" s="5" t="str">
        <f t="shared" si="8"/>
        <v>high</v>
      </c>
      <c r="U104" s="1">
        <f t="shared" si="9"/>
        <v>25132.38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1207.5790000000002</v>
      </c>
      <c r="Q105" s="1">
        <f t="shared" si="6"/>
        <v>10868.211000000001</v>
      </c>
      <c r="R105" s="1" t="str">
        <f t="shared" si="7"/>
        <v>high</v>
      </c>
      <c r="S105" s="1" t="str" cm="1">
        <f t="array" ref="S105">_xlfn.IFS(L105&gt;5,"high",L105=5,"medium",L105&lt;5,"low")</f>
        <v>medium</v>
      </c>
      <c r="T105" s="5" t="str">
        <f t="shared" si="8"/>
        <v>medium</v>
      </c>
      <c r="U105" s="1">
        <f t="shared" si="9"/>
        <v>13417.550000000001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81.463000000000008</v>
      </c>
      <c r="Q106" s="1">
        <f t="shared" si="6"/>
        <v>733.16700000000003</v>
      </c>
      <c r="R106" s="1" t="str">
        <f t="shared" si="7"/>
        <v>high</v>
      </c>
      <c r="S106" s="1" t="str" cm="1">
        <f t="array" ref="S106">_xlfn.IFS(L106&gt;5,"high",L106=5,"medium",L106&lt;5,"low")</f>
        <v>medium</v>
      </c>
      <c r="T106" s="5" t="str">
        <f t="shared" si="8"/>
        <v>medium</v>
      </c>
      <c r="U106" s="1">
        <f t="shared" si="9"/>
        <v>905.15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538.82399999999996</v>
      </c>
      <c r="Q107" s="1">
        <f t="shared" si="6"/>
        <v>10237.655999999999</v>
      </c>
      <c r="R107" s="1" t="str">
        <f t="shared" si="7"/>
        <v>low</v>
      </c>
      <c r="S107" s="1" t="str" cm="1">
        <f t="array" ref="S107">_xlfn.IFS(L107&gt;5,"high",L107=5,"medium",L107&lt;5,"low")</f>
        <v>low</v>
      </c>
      <c r="T107" s="5" t="str">
        <f t="shared" si="8"/>
        <v>low</v>
      </c>
      <c r="U107" s="1">
        <f t="shared" si="9"/>
        <v>11343.66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677.66849999999999</v>
      </c>
      <c r="Q108" s="1">
        <f t="shared" si="6"/>
        <v>3840.1215000000002</v>
      </c>
      <c r="R108" s="1" t="str">
        <f t="shared" si="7"/>
        <v>high</v>
      </c>
      <c r="S108" s="1" t="str" cm="1">
        <f t="array" ref="S108">_xlfn.IFS(L108&gt;5,"high",L108=5,"medium",L108&lt;5,"low")</f>
        <v>medium</v>
      </c>
      <c r="T108" s="5" t="str">
        <f t="shared" si="8"/>
        <v>medium</v>
      </c>
      <c r="U108" s="1">
        <f t="shared" si="9"/>
        <v>5315.05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143.89949999999999</v>
      </c>
      <c r="Q109" s="1">
        <f t="shared" si="6"/>
        <v>815.43050000000005</v>
      </c>
      <c r="R109" s="1" t="str">
        <f t="shared" si="7"/>
        <v>low</v>
      </c>
      <c r="S109" s="1" t="str" cm="1">
        <f t="array" ref="S109">_xlfn.IFS(L109&gt;5,"high",L109=5,"medium",L109&lt;5,"low")</f>
        <v>low</v>
      </c>
      <c r="T109" s="5" t="str">
        <f t="shared" si="8"/>
        <v>low</v>
      </c>
      <c r="U109" s="1">
        <f t="shared" si="9"/>
        <v>1128.6199999999999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1118.624</v>
      </c>
      <c r="Q110" s="1">
        <f t="shared" si="6"/>
        <v>10067.616</v>
      </c>
      <c r="R110" s="1" t="str">
        <f t="shared" si="7"/>
        <v>low</v>
      </c>
      <c r="S110" s="1" t="str" cm="1">
        <f t="array" ref="S110">_xlfn.IFS(L110&gt;5,"high",L110=5,"medium",L110&lt;5,"low")</f>
        <v>low</v>
      </c>
      <c r="T110" s="5" t="str">
        <f t="shared" si="8"/>
        <v>low</v>
      </c>
      <c r="U110" s="1">
        <f t="shared" si="9"/>
        <v>12429.16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1993.7660000000001</v>
      </c>
      <c r="Q111" s="1">
        <f t="shared" si="6"/>
        <v>7975.0640000000003</v>
      </c>
      <c r="R111" s="1" t="str">
        <f t="shared" si="7"/>
        <v>high</v>
      </c>
      <c r="S111" s="1" t="str" cm="1">
        <f t="array" ref="S111">_xlfn.IFS(L111&gt;5,"high",L111=5,"medium",L111&lt;5,"low")</f>
        <v>high</v>
      </c>
      <c r="T111" s="5" t="str">
        <f t="shared" si="8"/>
        <v>high</v>
      </c>
      <c r="U111" s="1">
        <f t="shared" si="9"/>
        <v>12461.04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163.80200000000002</v>
      </c>
      <c r="Q112" s="1">
        <f t="shared" si="6"/>
        <v>1474.2179999999998</v>
      </c>
      <c r="R112" s="1" t="str">
        <f t="shared" si="7"/>
        <v>low</v>
      </c>
      <c r="S112" s="1" t="str" cm="1">
        <f t="array" ref="S112">_xlfn.IFS(L112&gt;5,"high",L112=5,"medium",L112&lt;5,"low")</f>
        <v>low</v>
      </c>
      <c r="T112" s="5" t="str">
        <f t="shared" si="8"/>
        <v>low</v>
      </c>
      <c r="U112" s="1">
        <f t="shared" si="9"/>
        <v>1820.02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710.77800000000002</v>
      </c>
      <c r="Q113" s="1">
        <f t="shared" si="6"/>
        <v>2843.1120000000001</v>
      </c>
      <c r="R113" s="1" t="str">
        <f t="shared" si="7"/>
        <v>low</v>
      </c>
      <c r="S113" s="1" t="str" cm="1">
        <f t="array" ref="S113">_xlfn.IFS(L113&gt;5,"high",L113=5,"medium",L113&lt;5,"low")</f>
        <v>low</v>
      </c>
      <c r="T113" s="5" t="str">
        <f t="shared" si="8"/>
        <v>low</v>
      </c>
      <c r="U113" s="1">
        <f t="shared" si="9"/>
        <v>4442.3599999999997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2167.46</v>
      </c>
      <c r="Q114" s="1">
        <f t="shared" si="6"/>
        <v>8669.84</v>
      </c>
      <c r="R114" s="1" t="str">
        <f t="shared" si="7"/>
        <v>high</v>
      </c>
      <c r="S114" s="1" t="str" cm="1">
        <f t="array" ref="S114">_xlfn.IFS(L114&gt;5,"high",L114=5,"medium",L114&lt;5,"low")</f>
        <v>high</v>
      </c>
      <c r="T114" s="5" t="str">
        <f t="shared" si="8"/>
        <v>high</v>
      </c>
      <c r="U114" s="1">
        <f t="shared" si="9"/>
        <v>13546.619999999999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977.16800000000012</v>
      </c>
      <c r="Q115" s="1">
        <f t="shared" si="6"/>
        <v>8794.5120000000006</v>
      </c>
      <c r="R115" s="1" t="str">
        <f t="shared" si="7"/>
        <v>high</v>
      </c>
      <c r="S115" s="1" t="str" cm="1">
        <f t="array" ref="S115">_xlfn.IFS(L115&gt;5,"high",L115=5,"medium",L115&lt;5,"low")</f>
        <v>high</v>
      </c>
      <c r="T115" s="5" t="str">
        <f t="shared" si="8"/>
        <v>high</v>
      </c>
      <c r="U115" s="1">
        <f t="shared" si="9"/>
        <v>10857.420000000002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0</v>
      </c>
      <c r="Q116" s="1">
        <f t="shared" si="6"/>
        <v>7242.18</v>
      </c>
      <c r="R116" s="1" t="str">
        <f t="shared" si="7"/>
        <v>low</v>
      </c>
      <c r="S116" s="1" t="str" cm="1">
        <f t="array" ref="S116">_xlfn.IFS(L116&gt;5,"high",L116=5,"medium",L116&lt;5,"low")</f>
        <v>low</v>
      </c>
      <c r="T116" s="5" t="str">
        <f t="shared" si="8"/>
        <v>low</v>
      </c>
      <c r="U116" s="1">
        <f t="shared" si="9"/>
        <v>7242.18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873.34649999999999</v>
      </c>
      <c r="Q117" s="1">
        <f t="shared" si="6"/>
        <v>4948.9635000000007</v>
      </c>
      <c r="R117" s="1" t="str">
        <f t="shared" si="7"/>
        <v>high</v>
      </c>
      <c r="S117" s="1" t="str" cm="1">
        <f t="array" ref="S117">_xlfn.IFS(L117&gt;5,"high",L117=5,"medium",L117&lt;5,"low")</f>
        <v>high</v>
      </c>
      <c r="T117" s="5" t="str">
        <f t="shared" si="8"/>
        <v>high</v>
      </c>
      <c r="U117" s="1">
        <f t="shared" si="9"/>
        <v>6849.78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3412.5800000000004</v>
      </c>
      <c r="Q118" s="1">
        <f t="shared" si="6"/>
        <v>13650.320000000002</v>
      </c>
      <c r="R118" s="1" t="str">
        <f t="shared" si="7"/>
        <v>high</v>
      </c>
      <c r="S118" s="1" t="str" cm="1">
        <f t="array" ref="S118">_xlfn.IFS(L118&gt;5,"high",L118=5,"medium",L118&lt;5,"low")</f>
        <v>high</v>
      </c>
      <c r="T118" s="5" t="str">
        <f t="shared" si="8"/>
        <v>high</v>
      </c>
      <c r="U118" s="1">
        <f t="shared" si="9"/>
        <v>21328.62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737.1880000000001</v>
      </c>
      <c r="Q119" s="1">
        <f t="shared" si="6"/>
        <v>2948.752</v>
      </c>
      <c r="R119" s="1" t="str">
        <f t="shared" si="7"/>
        <v>low</v>
      </c>
      <c r="S119" s="1" t="str" cm="1">
        <f t="array" ref="S119">_xlfn.IFS(L119&gt;5,"high",L119=5,"medium",L119&lt;5,"low")</f>
        <v>low</v>
      </c>
      <c r="T119" s="5" t="str">
        <f t="shared" si="8"/>
        <v>low</v>
      </c>
      <c r="U119" s="1">
        <f t="shared" si="9"/>
        <v>4607.42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0</v>
      </c>
      <c r="Q120" s="1">
        <f t="shared" si="6"/>
        <v>26717.439999999999</v>
      </c>
      <c r="R120" s="1" t="str">
        <f t="shared" si="7"/>
        <v>high</v>
      </c>
      <c r="S120" s="1" t="str" cm="1">
        <f t="array" ref="S120">_xlfn.IFS(L120&gt;5,"high",L120=5,"medium",L120&lt;5,"low")</f>
        <v>high</v>
      </c>
      <c r="T120" s="5" t="str">
        <f t="shared" si="8"/>
        <v>high</v>
      </c>
      <c r="U120" s="1">
        <f t="shared" si="9"/>
        <v>26717.439999999999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962.40800000000002</v>
      </c>
      <c r="Q121" s="1">
        <f t="shared" si="6"/>
        <v>18285.752</v>
      </c>
      <c r="R121" s="1" t="str">
        <f t="shared" si="7"/>
        <v>high</v>
      </c>
      <c r="S121" s="1" t="str" cm="1">
        <f t="array" ref="S121">_xlfn.IFS(L121&gt;5,"high",L121=5,"medium",L121&lt;5,"low")</f>
        <v>high</v>
      </c>
      <c r="T121" s="5" t="str">
        <f t="shared" si="8"/>
        <v>high</v>
      </c>
      <c r="U121" s="1">
        <f t="shared" si="9"/>
        <v>20261.22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0</v>
      </c>
      <c r="Q122" s="1">
        <f t="shared" si="6"/>
        <v>14161.4</v>
      </c>
      <c r="R122" s="1" t="str">
        <f t="shared" si="7"/>
        <v>high</v>
      </c>
      <c r="S122" s="1" t="str" cm="1">
        <f t="array" ref="S122">_xlfn.IFS(L122&gt;5,"high",L122=5,"medium",L122&lt;5,"low")</f>
        <v>medium</v>
      </c>
      <c r="T122" s="5" t="str">
        <f t="shared" si="8"/>
        <v>medium</v>
      </c>
      <c r="U122" s="1">
        <f t="shared" si="9"/>
        <v>14161.400000000001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0</v>
      </c>
      <c r="Q123" s="1">
        <f t="shared" si="6"/>
        <v>6993.65</v>
      </c>
      <c r="R123" s="1" t="str">
        <f t="shared" si="7"/>
        <v>high</v>
      </c>
      <c r="S123" s="1" t="str" cm="1">
        <f t="array" ref="S123">_xlfn.IFS(L123&gt;5,"high",L123=5,"medium",L123&lt;5,"low")</f>
        <v>medium</v>
      </c>
      <c r="T123" s="5" t="str">
        <f t="shared" si="8"/>
        <v>medium</v>
      </c>
      <c r="U123" s="1">
        <f t="shared" si="9"/>
        <v>6993.65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1176.5600000000002</v>
      </c>
      <c r="Q124" s="1">
        <f t="shared" si="6"/>
        <v>4706.24</v>
      </c>
      <c r="R124" s="1" t="str">
        <f t="shared" si="7"/>
        <v>high</v>
      </c>
      <c r="S124" s="1" t="str" cm="1">
        <f t="array" ref="S124">_xlfn.IFS(L124&gt;5,"high",L124=5,"medium",L124&lt;5,"low")</f>
        <v>high</v>
      </c>
      <c r="T124" s="5" t="str">
        <f t="shared" si="8"/>
        <v>high</v>
      </c>
      <c r="U124" s="1">
        <f t="shared" si="9"/>
        <v>7353.5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1103.7914999999998</v>
      </c>
      <c r="Q125" s="1">
        <f t="shared" si="6"/>
        <v>6254.8184999999994</v>
      </c>
      <c r="R125" s="1" t="str">
        <f t="shared" si="7"/>
        <v>high</v>
      </c>
      <c r="S125" s="1" t="str" cm="1">
        <f t="array" ref="S125">_xlfn.IFS(L125&gt;5,"high",L125=5,"medium",L125&lt;5,"low")</f>
        <v>high</v>
      </c>
      <c r="T125" s="5" t="str">
        <f t="shared" si="8"/>
        <v>high</v>
      </c>
      <c r="U125" s="1">
        <f t="shared" si="9"/>
        <v>8657.19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0</v>
      </c>
      <c r="Q126" s="1">
        <f t="shared" si="6"/>
        <v>31051.71</v>
      </c>
      <c r="R126" s="1" t="str">
        <f t="shared" si="7"/>
        <v>high</v>
      </c>
      <c r="S126" s="1" t="str" cm="1">
        <f t="array" ref="S126">_xlfn.IFS(L126&gt;5,"high",L126=5,"medium",L126&lt;5,"low")</f>
        <v>high</v>
      </c>
      <c r="T126" s="5" t="str">
        <f t="shared" si="8"/>
        <v>high</v>
      </c>
      <c r="U126" s="1">
        <f t="shared" si="9"/>
        <v>31051.71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1414.4435000000001</v>
      </c>
      <c r="Q127" s="1">
        <f t="shared" si="6"/>
        <v>26874.426499999998</v>
      </c>
      <c r="R127" s="1" t="str">
        <f t="shared" si="7"/>
        <v>high</v>
      </c>
      <c r="S127" s="1" t="str" cm="1">
        <f t="array" ref="S127">_xlfn.IFS(L127&gt;5,"high",L127=5,"medium",L127&lt;5,"low")</f>
        <v>high</v>
      </c>
      <c r="T127" s="5" t="str">
        <f t="shared" si="8"/>
        <v>high</v>
      </c>
      <c r="U127" s="1">
        <f t="shared" si="9"/>
        <v>29777.759999999998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996.95300000000009</v>
      </c>
      <c r="Q128" s="1">
        <f t="shared" si="6"/>
        <v>8972.5770000000011</v>
      </c>
      <c r="R128" s="1" t="str">
        <f t="shared" si="7"/>
        <v>high</v>
      </c>
      <c r="S128" s="1" t="str" cm="1">
        <f t="array" ref="S128">_xlfn.IFS(L128&gt;5,"high",L128=5,"medium",L128&lt;5,"low")</f>
        <v>high</v>
      </c>
      <c r="T128" s="5" t="str">
        <f t="shared" si="8"/>
        <v>high</v>
      </c>
      <c r="U128" s="1">
        <f t="shared" si="9"/>
        <v>11077.26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0</v>
      </c>
      <c r="Q129" s="1">
        <f t="shared" si="6"/>
        <v>3958.56</v>
      </c>
      <c r="R129" s="1" t="str">
        <f t="shared" si="7"/>
        <v>high</v>
      </c>
      <c r="S129" s="1" t="str" cm="1">
        <f t="array" ref="S129">_xlfn.IFS(L129&gt;5,"high",L129=5,"medium",L129&lt;5,"low")</f>
        <v>high</v>
      </c>
      <c r="T129" s="5" t="str">
        <f t="shared" si="8"/>
        <v>high</v>
      </c>
      <c r="U129" s="1">
        <f t="shared" si="9"/>
        <v>3958.56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0</v>
      </c>
      <c r="Q130" s="1">
        <f t="shared" si="6"/>
        <v>4865.01</v>
      </c>
      <c r="R130" s="1" t="str">
        <f t="shared" si="7"/>
        <v>low</v>
      </c>
      <c r="S130" s="1" t="str" cm="1">
        <f t="array" ref="S130">_xlfn.IFS(L130&gt;5,"high",L130=5,"medium",L130&lt;5,"low")</f>
        <v>low</v>
      </c>
      <c r="T130" s="5" t="str">
        <f t="shared" si="8"/>
        <v>low</v>
      </c>
      <c r="U130" s="1">
        <f t="shared" si="9"/>
        <v>4865.01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O131*N131%</f>
        <v>120.3875</v>
      </c>
      <c r="Q131" s="1">
        <f t="shared" ref="Q131:Q194" si="11">O131-P131</f>
        <v>2287.3625000000002</v>
      </c>
      <c r="R131" s="1" t="str">
        <f t="shared" ref="R131:R194" si="12">IF(L131&gt;=5,"high","low")</f>
        <v>low</v>
      </c>
      <c r="S131" s="1" t="str" cm="1">
        <f t="array" ref="S131">_xlfn.IFS(L131&gt;5,"high",L131=5,"medium",L131&lt;5,"low")</f>
        <v>low</v>
      </c>
      <c r="T131" s="5" t="str">
        <f t="shared" ref="T131:T194" si="13">IF(L131&gt;5,"high",IF(L131=5,"medium","low"))</f>
        <v>low</v>
      </c>
      <c r="U131" s="1">
        <f t="shared" ref="U131:U194" si="14">L131*M131</f>
        <v>2534.4699999999998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1695.2594999999999</v>
      </c>
      <c r="Q132" s="1">
        <f t="shared" si="11"/>
        <v>9606.4704999999994</v>
      </c>
      <c r="R132" s="1" t="str">
        <f t="shared" si="12"/>
        <v>high</v>
      </c>
      <c r="S132" s="1" t="str" cm="1">
        <f t="array" ref="S132">_xlfn.IFS(L132&gt;5,"high",L132=5,"medium",L132&lt;5,"low")</f>
        <v>high</v>
      </c>
      <c r="T132" s="5" t="str">
        <f t="shared" si="13"/>
        <v>high</v>
      </c>
      <c r="U132" s="1">
        <f t="shared" si="14"/>
        <v>13296.15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0</v>
      </c>
      <c r="Q133" s="1">
        <f t="shared" si="11"/>
        <v>12614.92</v>
      </c>
      <c r="R133" s="1" t="str">
        <f t="shared" si="12"/>
        <v>low</v>
      </c>
      <c r="S133" s="1" t="str" cm="1">
        <f t="array" ref="S133">_xlfn.IFS(L133&gt;5,"high",L133=5,"medium",L133&lt;5,"low")</f>
        <v>low</v>
      </c>
      <c r="T133" s="5" t="str">
        <f t="shared" si="13"/>
        <v>low</v>
      </c>
      <c r="U133" s="1">
        <f t="shared" si="14"/>
        <v>12614.92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0</v>
      </c>
      <c r="Q134" s="1">
        <f t="shared" si="11"/>
        <v>3990.85</v>
      </c>
      <c r="R134" s="1" t="str">
        <f t="shared" si="12"/>
        <v>low</v>
      </c>
      <c r="S134" s="1" t="str" cm="1">
        <f t="array" ref="S134">_xlfn.IFS(L134&gt;5,"high",L134=5,"medium",L134&lt;5,"low")</f>
        <v>low</v>
      </c>
      <c r="T134" s="5" t="str">
        <f t="shared" si="13"/>
        <v>low</v>
      </c>
      <c r="U134" s="1">
        <f t="shared" si="14"/>
        <v>3990.85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903.57749999999999</v>
      </c>
      <c r="Q135" s="1">
        <f t="shared" si="11"/>
        <v>5120.2725</v>
      </c>
      <c r="R135" s="1" t="str">
        <f t="shared" si="12"/>
        <v>high</v>
      </c>
      <c r="S135" s="1" t="str" cm="1">
        <f t="array" ref="S135">_xlfn.IFS(L135&gt;5,"high",L135=5,"medium",L135&lt;5,"low")</f>
        <v>high</v>
      </c>
      <c r="T135" s="5" t="str">
        <f t="shared" si="13"/>
        <v>high</v>
      </c>
      <c r="U135" s="1">
        <f t="shared" si="14"/>
        <v>7086.88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547.10299999999995</v>
      </c>
      <c r="Q136" s="1">
        <f t="shared" si="11"/>
        <v>10394.957</v>
      </c>
      <c r="R136" s="1" t="str">
        <f t="shared" si="12"/>
        <v>high</v>
      </c>
      <c r="S136" s="1" t="str" cm="1">
        <f t="array" ref="S136">_xlfn.IFS(L136&gt;5,"high",L136=5,"medium",L136&lt;5,"low")</f>
        <v>high</v>
      </c>
      <c r="T136" s="5" t="str">
        <f t="shared" si="13"/>
        <v>high</v>
      </c>
      <c r="U136" s="1">
        <f t="shared" si="14"/>
        <v>11517.960000000001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0</v>
      </c>
      <c r="Q137" s="1">
        <f t="shared" si="11"/>
        <v>10855.74</v>
      </c>
      <c r="R137" s="1" t="str">
        <f t="shared" si="12"/>
        <v>high</v>
      </c>
      <c r="S137" s="1" t="str" cm="1">
        <f t="array" ref="S137">_xlfn.IFS(L137&gt;5,"high",L137=5,"medium",L137&lt;5,"low")</f>
        <v>high</v>
      </c>
      <c r="T137" s="5" t="str">
        <f t="shared" si="13"/>
        <v>high</v>
      </c>
      <c r="U137" s="1">
        <f t="shared" si="14"/>
        <v>10855.74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337.18649999999997</v>
      </c>
      <c r="Q138" s="1">
        <f t="shared" si="11"/>
        <v>1910.7234999999998</v>
      </c>
      <c r="R138" s="1" t="str">
        <f t="shared" si="12"/>
        <v>low</v>
      </c>
      <c r="S138" s="1" t="str" cm="1">
        <f t="array" ref="S138">_xlfn.IFS(L138&gt;5,"high",L138=5,"medium",L138&lt;5,"low")</f>
        <v>low</v>
      </c>
      <c r="T138" s="5" t="str">
        <f t="shared" si="13"/>
        <v>low</v>
      </c>
      <c r="U138" s="1">
        <f t="shared" si="14"/>
        <v>2644.6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0</v>
      </c>
      <c r="Q139" s="1">
        <f t="shared" si="11"/>
        <v>912.67</v>
      </c>
      <c r="R139" s="1" t="str">
        <f t="shared" si="12"/>
        <v>low</v>
      </c>
      <c r="S139" s="1" t="str" cm="1">
        <f t="array" ref="S139">_xlfn.IFS(L139&gt;5,"high",L139=5,"medium",L139&lt;5,"low")</f>
        <v>low</v>
      </c>
      <c r="T139" s="5" t="str">
        <f t="shared" si="13"/>
        <v>low</v>
      </c>
      <c r="U139" s="1">
        <f t="shared" si="14"/>
        <v>912.67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72.524000000000001</v>
      </c>
      <c r="Q140" s="1">
        <f t="shared" si="11"/>
        <v>652.71600000000001</v>
      </c>
      <c r="R140" s="1" t="str">
        <f t="shared" si="12"/>
        <v>low</v>
      </c>
      <c r="S140" s="1" t="str" cm="1">
        <f t="array" ref="S140">_xlfn.IFS(L140&gt;5,"high",L140=5,"medium",L140&lt;5,"low")</f>
        <v>low</v>
      </c>
      <c r="T140" s="5" t="str">
        <f t="shared" si="13"/>
        <v>low</v>
      </c>
      <c r="U140" s="1">
        <f t="shared" si="14"/>
        <v>805.82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2281.8620000000001</v>
      </c>
      <c r="Q141" s="1">
        <f t="shared" si="11"/>
        <v>9127.4480000000003</v>
      </c>
      <c r="R141" s="1" t="str">
        <f t="shared" si="12"/>
        <v>low</v>
      </c>
      <c r="S141" s="1" t="str" cm="1">
        <f t="array" ref="S141">_xlfn.IFS(L141&gt;5,"high",L141=5,"medium",L141&lt;5,"low")</f>
        <v>low</v>
      </c>
      <c r="T141" s="5" t="str">
        <f t="shared" si="13"/>
        <v>low</v>
      </c>
      <c r="U141" s="1">
        <f t="shared" si="14"/>
        <v>14261.64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317.95600000000002</v>
      </c>
      <c r="Q142" s="1">
        <f t="shared" si="11"/>
        <v>2861.6039999999998</v>
      </c>
      <c r="R142" s="1" t="str">
        <f t="shared" si="12"/>
        <v>low</v>
      </c>
      <c r="S142" s="1" t="str" cm="1">
        <f t="array" ref="S142">_xlfn.IFS(L142&gt;5,"high",L142=5,"medium",L142&lt;5,"low")</f>
        <v>low</v>
      </c>
      <c r="T142" s="5" t="str">
        <f t="shared" si="13"/>
        <v>low</v>
      </c>
      <c r="U142" s="1">
        <f t="shared" si="14"/>
        <v>3532.84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0</v>
      </c>
      <c r="Q143" s="1">
        <f t="shared" si="11"/>
        <v>2063.0500000000002</v>
      </c>
      <c r="R143" s="1" t="str">
        <f t="shared" si="12"/>
        <v>low</v>
      </c>
      <c r="S143" s="1" t="str" cm="1">
        <f t="array" ref="S143">_xlfn.IFS(L143&gt;5,"high",L143=5,"medium",L143&lt;5,"low")</f>
        <v>low</v>
      </c>
      <c r="T143" s="5" t="str">
        <f t="shared" si="13"/>
        <v>low</v>
      </c>
      <c r="U143" s="1">
        <f t="shared" si="14"/>
        <v>2063.0500000000002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1223.6765</v>
      </c>
      <c r="Q144" s="1">
        <f t="shared" si="11"/>
        <v>23249.853499999997</v>
      </c>
      <c r="R144" s="1" t="str">
        <f t="shared" si="12"/>
        <v>high</v>
      </c>
      <c r="S144" s="1" t="str" cm="1">
        <f t="array" ref="S144">_xlfn.IFS(L144&gt;5,"high",L144=5,"medium",L144&lt;5,"low")</f>
        <v>high</v>
      </c>
      <c r="T144" s="5" t="str">
        <f t="shared" si="13"/>
        <v>high</v>
      </c>
      <c r="U144" s="1">
        <f t="shared" si="14"/>
        <v>25761.61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4017.5620000000004</v>
      </c>
      <c r="Q145" s="1">
        <f t="shared" si="11"/>
        <v>16070.248000000001</v>
      </c>
      <c r="R145" s="1" t="str">
        <f t="shared" si="12"/>
        <v>high</v>
      </c>
      <c r="S145" s="1" t="str" cm="1">
        <f t="array" ref="S145">_xlfn.IFS(L145&gt;5,"high",L145=5,"medium",L145&lt;5,"low")</f>
        <v>high</v>
      </c>
      <c r="T145" s="5" t="str">
        <f t="shared" si="13"/>
        <v>high</v>
      </c>
      <c r="U145" s="1">
        <f t="shared" si="14"/>
        <v>25109.759999999998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352.31200000000001</v>
      </c>
      <c r="Q146" s="1">
        <f t="shared" si="11"/>
        <v>3170.808</v>
      </c>
      <c r="R146" s="1" t="str">
        <f t="shared" si="12"/>
        <v>high</v>
      </c>
      <c r="S146" s="1" t="str" cm="1">
        <f t="array" ref="S146">_xlfn.IFS(L146&gt;5,"high",L146=5,"medium",L146&lt;5,"low")</f>
        <v>high</v>
      </c>
      <c r="T146" s="5" t="str">
        <f t="shared" si="13"/>
        <v>high</v>
      </c>
      <c r="U146" s="1">
        <f t="shared" si="14"/>
        <v>3914.58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1186.704</v>
      </c>
      <c r="Q147" s="1">
        <f t="shared" si="11"/>
        <v>6724.6559999999999</v>
      </c>
      <c r="R147" s="1" t="str">
        <f t="shared" si="12"/>
        <v>low</v>
      </c>
      <c r="S147" s="1" t="str" cm="1">
        <f t="array" ref="S147">_xlfn.IFS(L147&gt;5,"high",L147=5,"medium",L147&lt;5,"low")</f>
        <v>low</v>
      </c>
      <c r="T147" s="5" t="str">
        <f t="shared" si="13"/>
        <v>low</v>
      </c>
      <c r="U147" s="1">
        <f t="shared" si="14"/>
        <v>9307.48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528.01099999999997</v>
      </c>
      <c r="Q148" s="1">
        <f t="shared" si="11"/>
        <v>10032.208999999999</v>
      </c>
      <c r="R148" s="1" t="str">
        <f t="shared" si="12"/>
        <v>high</v>
      </c>
      <c r="S148" s="1" t="str" cm="1">
        <f t="array" ref="S148">_xlfn.IFS(L148&gt;5,"high",L148=5,"medium",L148&lt;5,"low")</f>
        <v>high</v>
      </c>
      <c r="T148" s="5" t="str">
        <f t="shared" si="13"/>
        <v>high</v>
      </c>
      <c r="U148" s="1">
        <f t="shared" si="14"/>
        <v>11116.02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869.2</v>
      </c>
      <c r="Q149" s="1">
        <f t="shared" si="11"/>
        <v>7822.8</v>
      </c>
      <c r="R149" s="1" t="str">
        <f t="shared" si="12"/>
        <v>low</v>
      </c>
      <c r="S149" s="1" t="str" cm="1">
        <f t="array" ref="S149">_xlfn.IFS(L149&gt;5,"high",L149=5,"medium",L149&lt;5,"low")</f>
        <v>low</v>
      </c>
      <c r="T149" s="5" t="str">
        <f t="shared" si="13"/>
        <v>low</v>
      </c>
      <c r="U149" s="1">
        <f t="shared" si="14"/>
        <v>9657.7800000000007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2997.0659999999998</v>
      </c>
      <c r="Q150" s="1">
        <f t="shared" si="11"/>
        <v>16983.374</v>
      </c>
      <c r="R150" s="1" t="str">
        <f t="shared" si="12"/>
        <v>high</v>
      </c>
      <c r="S150" s="1" t="str" cm="1">
        <f t="array" ref="S150">_xlfn.IFS(L150&gt;5,"high",L150=5,"medium",L150&lt;5,"low")</f>
        <v>high</v>
      </c>
      <c r="T150" s="5" t="str">
        <f t="shared" si="13"/>
        <v>high</v>
      </c>
      <c r="U150" s="1">
        <f t="shared" si="14"/>
        <v>23506.400000000001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0</v>
      </c>
      <c r="Q151" s="1">
        <f t="shared" si="11"/>
        <v>5616.12</v>
      </c>
      <c r="R151" s="1" t="str">
        <f t="shared" si="12"/>
        <v>low</v>
      </c>
      <c r="S151" s="1" t="str" cm="1">
        <f t="array" ref="S151">_xlfn.IFS(L151&gt;5,"high",L151=5,"medium",L151&lt;5,"low")</f>
        <v>low</v>
      </c>
      <c r="T151" s="5" t="str">
        <f t="shared" si="13"/>
        <v>low</v>
      </c>
      <c r="U151" s="1">
        <f t="shared" si="14"/>
        <v>5616.12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931.452</v>
      </c>
      <c r="Q152" s="1">
        <f t="shared" si="11"/>
        <v>5278.2280000000001</v>
      </c>
      <c r="R152" s="1" t="str">
        <f t="shared" si="12"/>
        <v>high</v>
      </c>
      <c r="S152" s="1" t="str" cm="1">
        <f t="array" ref="S152">_xlfn.IFS(L152&gt;5,"high",L152=5,"medium",L152&lt;5,"low")</f>
        <v>medium</v>
      </c>
      <c r="T152" s="5" t="str">
        <f t="shared" si="13"/>
        <v>medium</v>
      </c>
      <c r="U152" s="1">
        <f t="shared" si="14"/>
        <v>7305.5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292.42</v>
      </c>
      <c r="Q153" s="1">
        <f t="shared" si="11"/>
        <v>2631.7799999999997</v>
      </c>
      <c r="R153" s="1" t="str">
        <f t="shared" si="12"/>
        <v>low</v>
      </c>
      <c r="S153" s="1" t="str" cm="1">
        <f t="array" ref="S153">_xlfn.IFS(L153&gt;5,"high",L153=5,"medium",L153&lt;5,"low")</f>
        <v>low</v>
      </c>
      <c r="T153" s="5" t="str">
        <f t="shared" si="13"/>
        <v>low</v>
      </c>
      <c r="U153" s="1">
        <f t="shared" si="14"/>
        <v>3249.11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189.923</v>
      </c>
      <c r="Q154" s="1">
        <f t="shared" si="11"/>
        <v>1709.307</v>
      </c>
      <c r="R154" s="1" t="str">
        <f t="shared" si="12"/>
        <v>high</v>
      </c>
      <c r="S154" s="1" t="str" cm="1">
        <f t="array" ref="S154">_xlfn.IFS(L154&gt;5,"high",L154=5,"medium",L154&lt;5,"low")</f>
        <v>high</v>
      </c>
      <c r="T154" s="5" t="str">
        <f t="shared" si="13"/>
        <v>high</v>
      </c>
      <c r="U154" s="1">
        <f t="shared" si="14"/>
        <v>2110.2599999999998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0</v>
      </c>
      <c r="Q155" s="1">
        <f t="shared" si="11"/>
        <v>1529.12</v>
      </c>
      <c r="R155" s="1" t="str">
        <f t="shared" si="12"/>
        <v>low</v>
      </c>
      <c r="S155" s="1" t="str" cm="1">
        <f t="array" ref="S155">_xlfn.IFS(L155&gt;5,"high",L155=5,"medium",L155&lt;5,"low")</f>
        <v>low</v>
      </c>
      <c r="T155" s="5" t="str">
        <f t="shared" si="13"/>
        <v>low</v>
      </c>
      <c r="U155" s="1">
        <f t="shared" si="14"/>
        <v>1529.12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735.49650000000008</v>
      </c>
      <c r="Q156" s="1">
        <f t="shared" si="11"/>
        <v>4167.8135000000002</v>
      </c>
      <c r="R156" s="1" t="str">
        <f t="shared" si="12"/>
        <v>low</v>
      </c>
      <c r="S156" s="1" t="str" cm="1">
        <f t="array" ref="S156">_xlfn.IFS(L156&gt;5,"high",L156=5,"medium",L156&lt;5,"low")</f>
        <v>low</v>
      </c>
      <c r="T156" s="5" t="str">
        <f t="shared" si="13"/>
        <v>low</v>
      </c>
      <c r="U156" s="1">
        <f t="shared" si="14"/>
        <v>5768.6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340.96799999999996</v>
      </c>
      <c r="Q157" s="1">
        <f t="shared" si="11"/>
        <v>1932.152</v>
      </c>
      <c r="R157" s="1" t="str">
        <f t="shared" si="12"/>
        <v>high</v>
      </c>
      <c r="S157" s="1" t="str" cm="1">
        <f t="array" ref="S157">_xlfn.IFS(L157&gt;5,"high",L157=5,"medium",L157&lt;5,"low")</f>
        <v>high</v>
      </c>
      <c r="T157" s="5" t="str">
        <f t="shared" si="13"/>
        <v>high</v>
      </c>
      <c r="U157" s="1">
        <f t="shared" si="14"/>
        <v>2674.2599999999998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0</v>
      </c>
      <c r="Q158" s="1">
        <f t="shared" si="11"/>
        <v>8437.84</v>
      </c>
      <c r="R158" s="1" t="str">
        <f t="shared" si="12"/>
        <v>high</v>
      </c>
      <c r="S158" s="1" t="str" cm="1">
        <f t="array" ref="S158">_xlfn.IFS(L158&gt;5,"high",L158=5,"medium",L158&lt;5,"low")</f>
        <v>high</v>
      </c>
      <c r="T158" s="5" t="str">
        <f t="shared" si="13"/>
        <v>high</v>
      </c>
      <c r="U158" s="1">
        <f t="shared" si="14"/>
        <v>8437.84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3413.0009999999997</v>
      </c>
      <c r="Q159" s="1">
        <f t="shared" si="11"/>
        <v>19340.339</v>
      </c>
      <c r="R159" s="1" t="str">
        <f t="shared" si="12"/>
        <v>high</v>
      </c>
      <c r="S159" s="1" t="str" cm="1">
        <f t="array" ref="S159">_xlfn.IFS(L159&gt;5,"high",L159=5,"medium",L159&lt;5,"low")</f>
        <v>high</v>
      </c>
      <c r="T159" s="5" t="str">
        <f t="shared" si="13"/>
        <v>high</v>
      </c>
      <c r="U159" s="1">
        <f t="shared" si="14"/>
        <v>26768.639999999999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0</v>
      </c>
      <c r="Q160" s="1">
        <f t="shared" si="11"/>
        <v>22804.62</v>
      </c>
      <c r="R160" s="1" t="str">
        <f t="shared" si="12"/>
        <v>high</v>
      </c>
      <c r="S160" s="1" t="str" cm="1">
        <f t="array" ref="S160">_xlfn.IFS(L160&gt;5,"high",L160=5,"medium",L160&lt;5,"low")</f>
        <v>high</v>
      </c>
      <c r="T160" s="5" t="str">
        <f t="shared" si="13"/>
        <v>high</v>
      </c>
      <c r="U160" s="1">
        <f t="shared" si="14"/>
        <v>22804.62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251.31700000000001</v>
      </c>
      <c r="Q161" s="1">
        <f t="shared" si="11"/>
        <v>4775.0230000000001</v>
      </c>
      <c r="R161" s="1" t="str">
        <f t="shared" si="12"/>
        <v>low</v>
      </c>
      <c r="S161" s="1" t="str" cm="1">
        <f t="array" ref="S161">_xlfn.IFS(L161&gt;5,"high",L161=5,"medium",L161&lt;5,"low")</f>
        <v>low</v>
      </c>
      <c r="T161" s="5" t="str">
        <f t="shared" si="13"/>
        <v>low</v>
      </c>
      <c r="U161" s="1">
        <f t="shared" si="14"/>
        <v>5290.88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841.24099999999999</v>
      </c>
      <c r="Q162" s="1">
        <f t="shared" si="11"/>
        <v>7571.1689999999999</v>
      </c>
      <c r="R162" s="1" t="str">
        <f t="shared" si="12"/>
        <v>high</v>
      </c>
      <c r="S162" s="1" t="str" cm="1">
        <f t="array" ref="S162">_xlfn.IFS(L162&gt;5,"high",L162=5,"medium",L162&lt;5,"low")</f>
        <v>high</v>
      </c>
      <c r="T162" s="5" t="str">
        <f t="shared" si="13"/>
        <v>high</v>
      </c>
      <c r="U162" s="1">
        <f t="shared" si="14"/>
        <v>9347.1200000000008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466.48400000000004</v>
      </c>
      <c r="Q163" s="1">
        <f t="shared" si="11"/>
        <v>8863.1959999999999</v>
      </c>
      <c r="R163" s="1" t="str">
        <f t="shared" si="12"/>
        <v>high</v>
      </c>
      <c r="S163" s="1" t="str" cm="1">
        <f t="array" ref="S163">_xlfn.IFS(L163&gt;5,"high",L163=5,"medium",L163&lt;5,"low")</f>
        <v>high</v>
      </c>
      <c r="T163" s="5" t="str">
        <f t="shared" si="13"/>
        <v>high</v>
      </c>
      <c r="U163" s="1">
        <f t="shared" si="14"/>
        <v>9820.7199999999993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195.07600000000002</v>
      </c>
      <c r="Q164" s="1">
        <f t="shared" si="11"/>
        <v>780.30399999999997</v>
      </c>
      <c r="R164" s="1" t="str">
        <f t="shared" si="12"/>
        <v>low</v>
      </c>
      <c r="S164" s="1" t="str" cm="1">
        <f t="array" ref="S164">_xlfn.IFS(L164&gt;5,"high",L164=5,"medium",L164&lt;5,"low")</f>
        <v>low</v>
      </c>
      <c r="T164" s="5" t="str">
        <f t="shared" si="13"/>
        <v>low</v>
      </c>
      <c r="U164" s="1">
        <f t="shared" si="14"/>
        <v>1219.22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184.53200000000001</v>
      </c>
      <c r="Q165" s="1">
        <f t="shared" si="11"/>
        <v>738.12799999999993</v>
      </c>
      <c r="R165" s="1" t="str">
        <f t="shared" si="12"/>
        <v>low</v>
      </c>
      <c r="S165" s="1" t="str" cm="1">
        <f t="array" ref="S165">_xlfn.IFS(L165&gt;5,"high",L165=5,"medium",L165&lt;5,"low")</f>
        <v>low</v>
      </c>
      <c r="T165" s="5" t="str">
        <f t="shared" si="13"/>
        <v>low</v>
      </c>
      <c r="U165" s="1">
        <f t="shared" si="14"/>
        <v>1153.32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2379.9240000000004</v>
      </c>
      <c r="Q166" s="1">
        <f t="shared" si="11"/>
        <v>9519.6959999999999</v>
      </c>
      <c r="R166" s="1" t="str">
        <f t="shared" si="12"/>
        <v>low</v>
      </c>
      <c r="S166" s="1" t="str" cm="1">
        <f t="array" ref="S166">_xlfn.IFS(L166&gt;5,"high",L166=5,"medium",L166&lt;5,"low")</f>
        <v>low</v>
      </c>
      <c r="T166" s="5" t="str">
        <f t="shared" si="13"/>
        <v>low</v>
      </c>
      <c r="U166" s="1">
        <f t="shared" si="14"/>
        <v>14874.52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0</v>
      </c>
      <c r="Q167" s="1">
        <f t="shared" si="11"/>
        <v>6809.18</v>
      </c>
      <c r="R167" s="1" t="str">
        <f t="shared" si="12"/>
        <v>high</v>
      </c>
      <c r="S167" s="1" t="str" cm="1">
        <f t="array" ref="S167">_xlfn.IFS(L167&gt;5,"high",L167=5,"medium",L167&lt;5,"low")</f>
        <v>high</v>
      </c>
      <c r="T167" s="5" t="str">
        <f t="shared" si="13"/>
        <v>high</v>
      </c>
      <c r="U167" s="1">
        <f t="shared" si="14"/>
        <v>6809.18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1577.0654999999999</v>
      </c>
      <c r="Q168" s="1">
        <f t="shared" si="11"/>
        <v>8936.7044999999998</v>
      </c>
      <c r="R168" s="1" t="str">
        <f t="shared" si="12"/>
        <v>high</v>
      </c>
      <c r="S168" s="1" t="str" cm="1">
        <f t="array" ref="S168">_xlfn.IFS(L168&gt;5,"high",L168=5,"medium",L168&lt;5,"low")</f>
        <v>high</v>
      </c>
      <c r="T168" s="5" t="str">
        <f t="shared" si="13"/>
        <v>high</v>
      </c>
      <c r="U168" s="1">
        <f t="shared" si="14"/>
        <v>12369.14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71.17</v>
      </c>
      <c r="Q169" s="1">
        <f t="shared" si="11"/>
        <v>1352.23</v>
      </c>
      <c r="R169" s="1" t="str">
        <f t="shared" si="12"/>
        <v>high</v>
      </c>
      <c r="S169" s="1" t="str" cm="1">
        <f t="array" ref="S169">_xlfn.IFS(L169&gt;5,"high",L169=5,"medium",L169&lt;5,"low")</f>
        <v>high</v>
      </c>
      <c r="T169" s="5" t="str">
        <f t="shared" si="13"/>
        <v>high</v>
      </c>
      <c r="U169" s="1">
        <f t="shared" si="14"/>
        <v>1498.32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820.11850000000004</v>
      </c>
      <c r="Q170" s="1">
        <f t="shared" si="11"/>
        <v>15582.251499999998</v>
      </c>
      <c r="R170" s="1" t="str">
        <f t="shared" si="12"/>
        <v>high</v>
      </c>
      <c r="S170" s="1" t="str" cm="1">
        <f t="array" ref="S170">_xlfn.IFS(L170&gt;5,"high",L170=5,"medium",L170&lt;5,"low")</f>
        <v>medium</v>
      </c>
      <c r="T170" s="5" t="str">
        <f t="shared" si="13"/>
        <v>medium</v>
      </c>
      <c r="U170" s="1">
        <f t="shared" si="14"/>
        <v>17265.650000000001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985.84900000000005</v>
      </c>
      <c r="Q171" s="1">
        <f t="shared" si="11"/>
        <v>18731.131000000001</v>
      </c>
      <c r="R171" s="1" t="str">
        <f t="shared" si="12"/>
        <v>high</v>
      </c>
      <c r="S171" s="1" t="str" cm="1">
        <f t="array" ref="S171">_xlfn.IFS(L171&gt;5,"high",L171=5,"medium",L171&lt;5,"low")</f>
        <v>high</v>
      </c>
      <c r="T171" s="5" t="str">
        <f t="shared" si="13"/>
        <v>high</v>
      </c>
      <c r="U171" s="1">
        <f t="shared" si="14"/>
        <v>20754.72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1442.1040000000003</v>
      </c>
      <c r="Q172" s="1">
        <f t="shared" si="11"/>
        <v>27399.976000000002</v>
      </c>
      <c r="R172" s="1" t="str">
        <f t="shared" si="12"/>
        <v>high</v>
      </c>
      <c r="S172" s="1" t="str" cm="1">
        <f t="array" ref="S172">_xlfn.IFS(L172&gt;5,"high",L172=5,"medium",L172&lt;5,"low")</f>
        <v>high</v>
      </c>
      <c r="T172" s="5" t="str">
        <f t="shared" si="13"/>
        <v>high</v>
      </c>
      <c r="U172" s="1">
        <f t="shared" si="14"/>
        <v>30360.080000000002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4549.2760000000007</v>
      </c>
      <c r="Q173" s="1">
        <f t="shared" si="11"/>
        <v>18197.103999999999</v>
      </c>
      <c r="R173" s="1" t="str">
        <f t="shared" si="12"/>
        <v>high</v>
      </c>
      <c r="S173" s="1" t="str" cm="1">
        <f t="array" ref="S173">_xlfn.IFS(L173&gt;5,"high",L173=5,"medium",L173&lt;5,"low")</f>
        <v>high</v>
      </c>
      <c r="T173" s="5" t="str">
        <f t="shared" si="13"/>
        <v>high</v>
      </c>
      <c r="U173" s="1">
        <f t="shared" si="14"/>
        <v>28432.98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193.482</v>
      </c>
      <c r="Q174" s="1">
        <f t="shared" si="11"/>
        <v>3676.1579999999999</v>
      </c>
      <c r="R174" s="1" t="str">
        <f t="shared" si="12"/>
        <v>low</v>
      </c>
      <c r="S174" s="1" t="str" cm="1">
        <f t="array" ref="S174">_xlfn.IFS(L174&gt;5,"high",L174=5,"medium",L174&lt;5,"low")</f>
        <v>low</v>
      </c>
      <c r="T174" s="5" t="str">
        <f t="shared" si="13"/>
        <v>low</v>
      </c>
      <c r="U174" s="1">
        <f t="shared" si="14"/>
        <v>4073.31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422.39849999999996</v>
      </c>
      <c r="Q175" s="1">
        <f t="shared" si="11"/>
        <v>2393.5915</v>
      </c>
      <c r="R175" s="1" t="str">
        <f t="shared" si="12"/>
        <v>low</v>
      </c>
      <c r="S175" s="1" t="str" cm="1">
        <f t="array" ref="S175">_xlfn.IFS(L175&gt;5,"high",L175=5,"medium",L175&lt;5,"low")</f>
        <v>low</v>
      </c>
      <c r="T175" s="5" t="str">
        <f t="shared" si="13"/>
        <v>low</v>
      </c>
      <c r="U175" s="1">
        <f t="shared" si="14"/>
        <v>3312.93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1815.1740000000002</v>
      </c>
      <c r="Q176" s="1">
        <f t="shared" si="11"/>
        <v>7260.6960000000008</v>
      </c>
      <c r="R176" s="1" t="str">
        <f t="shared" si="12"/>
        <v>low</v>
      </c>
      <c r="S176" s="1" t="str" cm="1">
        <f t="array" ref="S176">_xlfn.IFS(L176&gt;5,"high",L176=5,"medium",L176&lt;5,"low")</f>
        <v>low</v>
      </c>
      <c r="T176" s="5" t="str">
        <f t="shared" si="13"/>
        <v>low</v>
      </c>
      <c r="U176" s="1">
        <f t="shared" si="14"/>
        <v>11344.84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368.55950000000001</v>
      </c>
      <c r="Q177" s="1">
        <f t="shared" si="11"/>
        <v>7002.6304999999993</v>
      </c>
      <c r="R177" s="1" t="str">
        <f t="shared" si="12"/>
        <v>high</v>
      </c>
      <c r="S177" s="1" t="str" cm="1">
        <f t="array" ref="S177">_xlfn.IFS(L177&gt;5,"high",L177=5,"medium",L177&lt;5,"low")</f>
        <v>medium</v>
      </c>
      <c r="T177" s="5" t="str">
        <f t="shared" si="13"/>
        <v>medium</v>
      </c>
      <c r="U177" s="1">
        <f t="shared" si="14"/>
        <v>7759.15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0</v>
      </c>
      <c r="Q178" s="1">
        <f t="shared" si="11"/>
        <v>2329.9299999999998</v>
      </c>
      <c r="R178" s="1" t="str">
        <f t="shared" si="12"/>
        <v>low</v>
      </c>
      <c r="S178" s="1" t="str" cm="1">
        <f t="array" ref="S178">_xlfn.IFS(L178&gt;5,"high",L178=5,"medium",L178&lt;5,"low")</f>
        <v>low</v>
      </c>
      <c r="T178" s="5" t="str">
        <f t="shared" si="13"/>
        <v>low</v>
      </c>
      <c r="U178" s="1">
        <f t="shared" si="14"/>
        <v>2329.9299999999998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109.67700000000001</v>
      </c>
      <c r="Q179" s="1">
        <f t="shared" si="11"/>
        <v>987.09299999999996</v>
      </c>
      <c r="R179" s="1" t="str">
        <f t="shared" si="12"/>
        <v>high</v>
      </c>
      <c r="S179" s="1" t="str" cm="1">
        <f t="array" ref="S179">_xlfn.IFS(L179&gt;5,"high",L179=5,"medium",L179&lt;5,"low")</f>
        <v>high</v>
      </c>
      <c r="T179" s="5" t="str">
        <f t="shared" si="13"/>
        <v>high</v>
      </c>
      <c r="U179" s="1">
        <f t="shared" si="14"/>
        <v>1218.6300000000001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314.49099999999999</v>
      </c>
      <c r="Q180" s="1">
        <f t="shared" si="11"/>
        <v>2830.4189999999999</v>
      </c>
      <c r="R180" s="1" t="str">
        <f t="shared" si="12"/>
        <v>high</v>
      </c>
      <c r="S180" s="1" t="str" cm="1">
        <f t="array" ref="S180">_xlfn.IFS(L180&gt;5,"high",L180=5,"medium",L180&lt;5,"low")</f>
        <v>high</v>
      </c>
      <c r="T180" s="5" t="str">
        <f t="shared" si="13"/>
        <v>high</v>
      </c>
      <c r="U180" s="1">
        <f t="shared" si="14"/>
        <v>3494.34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1592.0420000000001</v>
      </c>
      <c r="Q181" s="1">
        <f t="shared" si="11"/>
        <v>14328.378000000001</v>
      </c>
      <c r="R181" s="1" t="str">
        <f t="shared" si="12"/>
        <v>high</v>
      </c>
      <c r="S181" s="1" t="str" cm="1">
        <f t="array" ref="S181">_xlfn.IFS(L181&gt;5,"high",L181=5,"medium",L181&lt;5,"low")</f>
        <v>high</v>
      </c>
      <c r="T181" s="5" t="str">
        <f t="shared" si="13"/>
        <v>high</v>
      </c>
      <c r="U181" s="1">
        <f t="shared" si="14"/>
        <v>17689.36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1863.5040000000001</v>
      </c>
      <c r="Q182" s="1">
        <f t="shared" si="11"/>
        <v>7454.0160000000005</v>
      </c>
      <c r="R182" s="1" t="str">
        <f t="shared" si="12"/>
        <v>high</v>
      </c>
      <c r="S182" s="1" t="str" cm="1">
        <f t="array" ref="S182">_xlfn.IFS(L182&gt;5,"high",L182=5,"medium",L182&lt;5,"low")</f>
        <v>medium</v>
      </c>
      <c r="T182" s="5" t="str">
        <f t="shared" si="13"/>
        <v>medium</v>
      </c>
      <c r="U182" s="1">
        <f t="shared" si="14"/>
        <v>11646.900000000001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578.18700000000001</v>
      </c>
      <c r="Q183" s="1">
        <f t="shared" si="11"/>
        <v>10985.553</v>
      </c>
      <c r="R183" s="1" t="str">
        <f t="shared" si="12"/>
        <v>low</v>
      </c>
      <c r="S183" s="1" t="str" cm="1">
        <f t="array" ref="S183">_xlfn.IFS(L183&gt;5,"high",L183=5,"medium",L183&lt;5,"low")</f>
        <v>low</v>
      </c>
      <c r="T183" s="5" t="str">
        <f t="shared" si="13"/>
        <v>low</v>
      </c>
      <c r="U183" s="1">
        <f t="shared" si="14"/>
        <v>12172.36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737.03800000000001</v>
      </c>
      <c r="Q184" s="1">
        <f t="shared" si="11"/>
        <v>2948.152</v>
      </c>
      <c r="R184" s="1" t="str">
        <f t="shared" si="12"/>
        <v>high</v>
      </c>
      <c r="S184" s="1" t="str" cm="1">
        <f t="array" ref="S184">_xlfn.IFS(L184&gt;5,"high",L184=5,"medium",L184&lt;5,"low")</f>
        <v>high</v>
      </c>
      <c r="T184" s="5" t="str">
        <f t="shared" si="13"/>
        <v>high</v>
      </c>
      <c r="U184" s="1">
        <f t="shared" si="14"/>
        <v>4606.4900000000007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1355.1659999999999</v>
      </c>
      <c r="Q185" s="1">
        <f t="shared" si="11"/>
        <v>7679.2740000000003</v>
      </c>
      <c r="R185" s="1" t="str">
        <f t="shared" si="12"/>
        <v>high</v>
      </c>
      <c r="S185" s="1" t="str" cm="1">
        <f t="array" ref="S185">_xlfn.IFS(L185&gt;5,"high",L185=5,"medium",L185&lt;5,"low")</f>
        <v>medium</v>
      </c>
      <c r="T185" s="5" t="str">
        <f t="shared" si="13"/>
        <v>medium</v>
      </c>
      <c r="U185" s="1">
        <f t="shared" si="14"/>
        <v>10628.75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0</v>
      </c>
      <c r="Q186" s="1">
        <f t="shared" si="11"/>
        <v>6290.34</v>
      </c>
      <c r="R186" s="1" t="str">
        <f t="shared" si="12"/>
        <v>high</v>
      </c>
      <c r="S186" s="1" t="str" cm="1">
        <f t="array" ref="S186">_xlfn.IFS(L186&gt;5,"high",L186=5,"medium",L186&lt;5,"low")</f>
        <v>high</v>
      </c>
      <c r="T186" s="5" t="str">
        <f t="shared" si="13"/>
        <v>high</v>
      </c>
      <c r="U186" s="1">
        <f t="shared" si="14"/>
        <v>6290.34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0</v>
      </c>
      <c r="Q187" s="1">
        <f t="shared" si="11"/>
        <v>508.81</v>
      </c>
      <c r="R187" s="1" t="str">
        <f t="shared" si="12"/>
        <v>low</v>
      </c>
      <c r="S187" s="1" t="str" cm="1">
        <f t="array" ref="S187">_xlfn.IFS(L187&gt;5,"high",L187=5,"medium",L187&lt;5,"low")</f>
        <v>low</v>
      </c>
      <c r="T187" s="5" t="str">
        <f t="shared" si="13"/>
        <v>low</v>
      </c>
      <c r="U187" s="1">
        <f t="shared" si="14"/>
        <v>508.81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155.73699999999999</v>
      </c>
      <c r="Q188" s="1">
        <f t="shared" si="11"/>
        <v>1401.6329999999998</v>
      </c>
      <c r="R188" s="1" t="str">
        <f t="shared" si="12"/>
        <v>low</v>
      </c>
      <c r="S188" s="1" t="str" cm="1">
        <f t="array" ref="S188">_xlfn.IFS(L188&gt;5,"high",L188=5,"medium",L188&lt;5,"low")</f>
        <v>low</v>
      </c>
      <c r="T188" s="5" t="str">
        <f t="shared" si="13"/>
        <v>low</v>
      </c>
      <c r="U188" s="1">
        <f t="shared" si="14"/>
        <v>1730.41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210.28899999999999</v>
      </c>
      <c r="Q189" s="1">
        <f t="shared" si="11"/>
        <v>1892.6009999999999</v>
      </c>
      <c r="R189" s="1" t="str">
        <f t="shared" si="12"/>
        <v>low</v>
      </c>
      <c r="S189" s="1" t="str" cm="1">
        <f t="array" ref="S189">_xlfn.IFS(L189&gt;5,"high",L189=5,"medium",L189&lt;5,"low")</f>
        <v>low</v>
      </c>
      <c r="T189" s="5" t="str">
        <f t="shared" si="13"/>
        <v>low</v>
      </c>
      <c r="U189" s="1">
        <f t="shared" si="14"/>
        <v>2336.5500000000002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180.69500000000002</v>
      </c>
      <c r="Q190" s="1">
        <f t="shared" si="11"/>
        <v>1626.2550000000001</v>
      </c>
      <c r="R190" s="1" t="str">
        <f t="shared" si="12"/>
        <v>low</v>
      </c>
      <c r="S190" s="1" t="str" cm="1">
        <f t="array" ref="S190">_xlfn.IFS(L190&gt;5,"high",L190=5,"medium",L190&lt;5,"low")</f>
        <v>low</v>
      </c>
      <c r="T190" s="5" t="str">
        <f t="shared" si="13"/>
        <v>low</v>
      </c>
      <c r="U190" s="1">
        <f t="shared" si="14"/>
        <v>2007.72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130.39600000000002</v>
      </c>
      <c r="Q191" s="1">
        <f t="shared" si="11"/>
        <v>2477.5239999999999</v>
      </c>
      <c r="R191" s="1" t="str">
        <f t="shared" si="12"/>
        <v>low</v>
      </c>
      <c r="S191" s="1" t="str" cm="1">
        <f t="array" ref="S191">_xlfn.IFS(L191&gt;5,"high",L191=5,"medium",L191&lt;5,"low")</f>
        <v>low</v>
      </c>
      <c r="T191" s="5" t="str">
        <f t="shared" si="13"/>
        <v>low</v>
      </c>
      <c r="U191" s="1">
        <f t="shared" si="14"/>
        <v>2745.18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1025.1704999999999</v>
      </c>
      <c r="Q192" s="1">
        <f t="shared" si="11"/>
        <v>5809.2995000000001</v>
      </c>
      <c r="R192" s="1" t="str">
        <f t="shared" si="12"/>
        <v>high</v>
      </c>
      <c r="S192" s="1" t="str" cm="1">
        <f t="array" ref="S192">_xlfn.IFS(L192&gt;5,"high",L192=5,"medium",L192&lt;5,"low")</f>
        <v>high</v>
      </c>
      <c r="T192" s="5" t="str">
        <f t="shared" si="13"/>
        <v>high</v>
      </c>
      <c r="U192" s="1">
        <f t="shared" si="14"/>
        <v>8040.5500000000011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124.24349999999998</v>
      </c>
      <c r="Q193" s="1">
        <f t="shared" si="11"/>
        <v>704.04649999999992</v>
      </c>
      <c r="R193" s="1" t="str">
        <f t="shared" si="12"/>
        <v>low</v>
      </c>
      <c r="S193" s="1" t="str" cm="1">
        <f t="array" ref="S193">_xlfn.IFS(L193&gt;5,"high",L193=5,"medium",L193&lt;5,"low")</f>
        <v>low</v>
      </c>
      <c r="T193" s="5" t="str">
        <f t="shared" si="13"/>
        <v>low</v>
      </c>
      <c r="U193" s="1">
        <f t="shared" si="14"/>
        <v>974.46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253.05149999999998</v>
      </c>
      <c r="Q194" s="1">
        <f t="shared" si="11"/>
        <v>1433.9585</v>
      </c>
      <c r="R194" s="1" t="str">
        <f t="shared" si="12"/>
        <v>low</v>
      </c>
      <c r="S194" s="1" t="str" cm="1">
        <f t="array" ref="S194">_xlfn.IFS(L194&gt;5,"high",L194=5,"medium",L194&lt;5,"low")</f>
        <v>low</v>
      </c>
      <c r="T194" s="5" t="str">
        <f t="shared" si="13"/>
        <v>low</v>
      </c>
      <c r="U194" s="1">
        <f t="shared" si="14"/>
        <v>1984.72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O195*N195%</f>
        <v>227.97299999999998</v>
      </c>
      <c r="Q195" s="1">
        <f t="shared" ref="Q195:Q258" si="16">O195-P195</f>
        <v>1291.847</v>
      </c>
      <c r="R195" s="1" t="str">
        <f t="shared" ref="R195:R258" si="17">IF(L195&gt;=5,"high","low")</f>
        <v>low</v>
      </c>
      <c r="S195" s="1" t="str" cm="1">
        <f t="array" ref="S195">_xlfn.IFS(L195&gt;5,"high",L195=5,"medium",L195&lt;5,"low")</f>
        <v>low</v>
      </c>
      <c r="T195" s="5" t="str">
        <f t="shared" ref="T195:T258" si="18">IF(L195&gt;5,"high",IF(L195=5,"medium","low"))</f>
        <v>low</v>
      </c>
      <c r="U195" s="1">
        <f t="shared" ref="U195:U258" si="19">L195*M195</f>
        <v>1788.02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186.11099999999999</v>
      </c>
      <c r="Q196" s="1">
        <f t="shared" si="16"/>
        <v>1674.9989999999998</v>
      </c>
      <c r="R196" s="1" t="str">
        <f t="shared" si="17"/>
        <v>high</v>
      </c>
      <c r="S196" s="1" t="str" cm="1">
        <f t="array" ref="S196">_xlfn.IFS(L196&gt;5,"high",L196=5,"medium",L196&lt;5,"low")</f>
        <v>high</v>
      </c>
      <c r="T196" s="5" t="str">
        <f t="shared" si="18"/>
        <v>high</v>
      </c>
      <c r="U196" s="1">
        <f t="shared" si="19"/>
        <v>2067.8999999999996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0</v>
      </c>
      <c r="Q197" s="1">
        <f t="shared" si="16"/>
        <v>20494.88</v>
      </c>
      <c r="R197" s="1" t="str">
        <f t="shared" si="17"/>
        <v>high</v>
      </c>
      <c r="S197" s="1" t="str" cm="1">
        <f t="array" ref="S197">_xlfn.IFS(L197&gt;5,"high",L197=5,"medium",L197&lt;5,"low")</f>
        <v>high</v>
      </c>
      <c r="T197" s="5" t="str">
        <f t="shared" si="18"/>
        <v>high</v>
      </c>
      <c r="U197" s="1">
        <f t="shared" si="19"/>
        <v>20494.88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452.23599999999999</v>
      </c>
      <c r="Q198" s="1">
        <f t="shared" si="16"/>
        <v>4070.1239999999998</v>
      </c>
      <c r="R198" s="1" t="str">
        <f t="shared" si="17"/>
        <v>low</v>
      </c>
      <c r="S198" s="1" t="str" cm="1">
        <f t="array" ref="S198">_xlfn.IFS(L198&gt;5,"high",L198=5,"medium",L198&lt;5,"low")</f>
        <v>low</v>
      </c>
      <c r="T198" s="5" t="str">
        <f t="shared" si="18"/>
        <v>low</v>
      </c>
      <c r="U198" s="1">
        <f t="shared" si="19"/>
        <v>5024.84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782.226</v>
      </c>
      <c r="Q199" s="1">
        <f t="shared" si="16"/>
        <v>4432.6140000000005</v>
      </c>
      <c r="R199" s="1" t="str">
        <f t="shared" si="17"/>
        <v>high</v>
      </c>
      <c r="S199" s="1" t="str" cm="1">
        <f t="array" ref="S199">_xlfn.IFS(L199&gt;5,"high",L199=5,"medium",L199&lt;5,"low")</f>
        <v>medium</v>
      </c>
      <c r="T199" s="5" t="str">
        <f t="shared" si="18"/>
        <v>medium</v>
      </c>
      <c r="U199" s="1">
        <f t="shared" si="19"/>
        <v>6135.1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514.14800000000002</v>
      </c>
      <c r="Q200" s="1">
        <f t="shared" si="16"/>
        <v>4627.3319999999994</v>
      </c>
      <c r="R200" s="1" t="str">
        <f t="shared" si="17"/>
        <v>low</v>
      </c>
      <c r="S200" s="1" t="str" cm="1">
        <f t="array" ref="S200">_xlfn.IFS(L200&gt;5,"high",L200=5,"medium",L200&lt;5,"low")</f>
        <v>low</v>
      </c>
      <c r="T200" s="5" t="str">
        <f t="shared" si="18"/>
        <v>low</v>
      </c>
      <c r="U200" s="1">
        <f t="shared" si="19"/>
        <v>5712.76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1033.4265</v>
      </c>
      <c r="Q201" s="1">
        <f t="shared" si="16"/>
        <v>5856.0835000000006</v>
      </c>
      <c r="R201" s="1" t="str">
        <f t="shared" si="17"/>
        <v>low</v>
      </c>
      <c r="S201" s="1" t="str" cm="1">
        <f t="array" ref="S201">_xlfn.IFS(L201&gt;5,"high",L201=5,"medium",L201&lt;5,"low")</f>
        <v>low</v>
      </c>
      <c r="T201" s="5" t="str">
        <f t="shared" si="18"/>
        <v>low</v>
      </c>
      <c r="U201" s="1">
        <f t="shared" si="19"/>
        <v>8105.3099999999995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2801.5520000000001</v>
      </c>
      <c r="Q202" s="1">
        <f t="shared" si="16"/>
        <v>11206.208000000001</v>
      </c>
      <c r="R202" s="1" t="str">
        <f t="shared" si="17"/>
        <v>high</v>
      </c>
      <c r="S202" s="1" t="str" cm="1">
        <f t="array" ref="S202">_xlfn.IFS(L202&gt;5,"high",L202=5,"medium",L202&lt;5,"low")</f>
        <v>medium</v>
      </c>
      <c r="T202" s="5" t="str">
        <f t="shared" si="18"/>
        <v>medium</v>
      </c>
      <c r="U202" s="1">
        <f t="shared" si="19"/>
        <v>17509.7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0</v>
      </c>
      <c r="Q203" s="1">
        <f t="shared" si="16"/>
        <v>27652.32</v>
      </c>
      <c r="R203" s="1" t="str">
        <f t="shared" si="17"/>
        <v>high</v>
      </c>
      <c r="S203" s="1" t="str" cm="1">
        <f t="array" ref="S203">_xlfn.IFS(L203&gt;5,"high",L203=5,"medium",L203&lt;5,"low")</f>
        <v>high</v>
      </c>
      <c r="T203" s="5" t="str">
        <f t="shared" si="18"/>
        <v>high</v>
      </c>
      <c r="U203" s="1">
        <f t="shared" si="19"/>
        <v>27652.32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3777.268</v>
      </c>
      <c r="Q204" s="1">
        <f t="shared" si="16"/>
        <v>15109.072</v>
      </c>
      <c r="R204" s="1" t="str">
        <f t="shared" si="17"/>
        <v>high</v>
      </c>
      <c r="S204" s="1" t="str" cm="1">
        <f t="array" ref="S204">_xlfn.IFS(L204&gt;5,"high",L204=5,"medium",L204&lt;5,"low")</f>
        <v>high</v>
      </c>
      <c r="T204" s="5" t="str">
        <f t="shared" si="18"/>
        <v>high</v>
      </c>
      <c r="U204" s="1">
        <f t="shared" si="19"/>
        <v>23607.919999999998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765.66600000000005</v>
      </c>
      <c r="Q205" s="1">
        <f t="shared" si="16"/>
        <v>14547.654</v>
      </c>
      <c r="R205" s="1" t="str">
        <f t="shared" si="17"/>
        <v>high</v>
      </c>
      <c r="S205" s="1" t="str" cm="1">
        <f t="array" ref="S205">_xlfn.IFS(L205&gt;5,"high",L205=5,"medium",L205&lt;5,"low")</f>
        <v>high</v>
      </c>
      <c r="T205" s="5" t="str">
        <f t="shared" si="18"/>
        <v>high</v>
      </c>
      <c r="U205" s="1">
        <f t="shared" si="19"/>
        <v>16119.28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2031.2280000000001</v>
      </c>
      <c r="Q206" s="1">
        <f t="shared" si="16"/>
        <v>18281.052</v>
      </c>
      <c r="R206" s="1" t="str">
        <f t="shared" si="17"/>
        <v>high</v>
      </c>
      <c r="S206" s="1" t="str" cm="1">
        <f t="array" ref="S206">_xlfn.IFS(L206&gt;5,"high",L206=5,"medium",L206&lt;5,"low")</f>
        <v>high</v>
      </c>
      <c r="T206" s="5" t="str">
        <f t="shared" si="18"/>
        <v>high</v>
      </c>
      <c r="U206" s="1">
        <f t="shared" si="19"/>
        <v>22569.200000000001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865.6930000000001</v>
      </c>
      <c r="Q207" s="1">
        <f t="shared" si="16"/>
        <v>16448.167000000001</v>
      </c>
      <c r="R207" s="1" t="str">
        <f t="shared" si="17"/>
        <v>high</v>
      </c>
      <c r="S207" s="1" t="str" cm="1">
        <f t="array" ref="S207">_xlfn.IFS(L207&gt;5,"high",L207=5,"medium",L207&lt;5,"low")</f>
        <v>high</v>
      </c>
      <c r="T207" s="5" t="str">
        <f t="shared" si="18"/>
        <v>high</v>
      </c>
      <c r="U207" s="1">
        <f t="shared" si="19"/>
        <v>18225.12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619.01300000000003</v>
      </c>
      <c r="Q208" s="1">
        <f t="shared" si="16"/>
        <v>5571.1170000000002</v>
      </c>
      <c r="R208" s="1" t="str">
        <f t="shared" si="17"/>
        <v>high</v>
      </c>
      <c r="S208" s="1" t="str" cm="1">
        <f t="array" ref="S208">_xlfn.IFS(L208&gt;5,"high",L208=5,"medium",L208&lt;5,"low")</f>
        <v>high</v>
      </c>
      <c r="T208" s="5" t="str">
        <f t="shared" si="18"/>
        <v>high</v>
      </c>
      <c r="U208" s="1">
        <f t="shared" si="19"/>
        <v>6877.92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1219.93</v>
      </c>
      <c r="Q209" s="1">
        <f t="shared" si="16"/>
        <v>4879.7199999999993</v>
      </c>
      <c r="R209" s="1" t="str">
        <f t="shared" si="17"/>
        <v>high</v>
      </c>
      <c r="S209" s="1" t="str" cm="1">
        <f t="array" ref="S209">_xlfn.IFS(L209&gt;5,"high",L209=5,"medium",L209&lt;5,"low")</f>
        <v>high</v>
      </c>
      <c r="T209" s="5" t="str">
        <f t="shared" si="18"/>
        <v>high</v>
      </c>
      <c r="U209" s="1">
        <f t="shared" si="19"/>
        <v>7624.56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1316.9324999999999</v>
      </c>
      <c r="Q210" s="1">
        <f t="shared" si="16"/>
        <v>7462.6174999999994</v>
      </c>
      <c r="R210" s="1" t="str">
        <f t="shared" si="17"/>
        <v>high</v>
      </c>
      <c r="S210" s="1" t="str" cm="1">
        <f t="array" ref="S210">_xlfn.IFS(L210&gt;5,"high",L210=5,"medium",L210&lt;5,"low")</f>
        <v>high</v>
      </c>
      <c r="T210" s="5" t="str">
        <f t="shared" si="18"/>
        <v>high</v>
      </c>
      <c r="U210" s="1">
        <f t="shared" si="19"/>
        <v>10328.879999999999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3729.7215000000001</v>
      </c>
      <c r="Q211" s="1">
        <f t="shared" si="16"/>
        <v>21135.088500000002</v>
      </c>
      <c r="R211" s="1" t="str">
        <f t="shared" si="17"/>
        <v>high</v>
      </c>
      <c r="S211" s="1" t="str" cm="1">
        <f t="array" ref="S211">_xlfn.IFS(L211&gt;5,"high",L211=5,"medium",L211&lt;5,"low")</f>
        <v>high</v>
      </c>
      <c r="T211" s="5" t="str">
        <f t="shared" si="18"/>
        <v>high</v>
      </c>
      <c r="U211" s="1">
        <f t="shared" si="19"/>
        <v>29252.720000000001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1422.2560000000001</v>
      </c>
      <c r="Q212" s="1">
        <f t="shared" si="16"/>
        <v>12800.304</v>
      </c>
      <c r="R212" s="1" t="str">
        <f t="shared" si="17"/>
        <v>high</v>
      </c>
      <c r="S212" s="1" t="str" cm="1">
        <f t="array" ref="S212">_xlfn.IFS(L212&gt;5,"high",L212=5,"medium",L212&lt;5,"low")</f>
        <v>high</v>
      </c>
      <c r="T212" s="5" t="str">
        <f t="shared" si="18"/>
        <v>high</v>
      </c>
      <c r="U212" s="1">
        <f t="shared" si="19"/>
        <v>15802.850000000002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379.38150000000002</v>
      </c>
      <c r="Q213" s="1">
        <f t="shared" si="16"/>
        <v>2149.8285000000001</v>
      </c>
      <c r="R213" s="1" t="str">
        <f t="shared" si="17"/>
        <v>low</v>
      </c>
      <c r="S213" s="1" t="str" cm="1">
        <f t="array" ref="S213">_xlfn.IFS(L213&gt;5,"high",L213=5,"medium",L213&lt;5,"low")</f>
        <v>low</v>
      </c>
      <c r="T213" s="5" t="str">
        <f t="shared" si="18"/>
        <v>low</v>
      </c>
      <c r="U213" s="1">
        <f t="shared" si="19"/>
        <v>2975.54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949.92000000000007</v>
      </c>
      <c r="Q214" s="1">
        <f t="shared" si="16"/>
        <v>3799.6800000000003</v>
      </c>
      <c r="R214" s="1" t="str">
        <f t="shared" si="17"/>
        <v>low</v>
      </c>
      <c r="S214" s="1" t="str" cm="1">
        <f t="array" ref="S214">_xlfn.IFS(L214&gt;5,"high",L214=5,"medium",L214&lt;5,"low")</f>
        <v>low</v>
      </c>
      <c r="T214" s="5" t="str">
        <f t="shared" si="18"/>
        <v>low</v>
      </c>
      <c r="U214" s="1">
        <f t="shared" si="19"/>
        <v>5937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877.05150000000003</v>
      </c>
      <c r="Q215" s="1">
        <f t="shared" si="16"/>
        <v>4969.9585000000006</v>
      </c>
      <c r="R215" s="1" t="str">
        <f t="shared" si="17"/>
        <v>low</v>
      </c>
      <c r="S215" s="1" t="str" cm="1">
        <f t="array" ref="S215">_xlfn.IFS(L215&gt;5,"high",L215=5,"medium",L215&lt;5,"low")</f>
        <v>low</v>
      </c>
      <c r="T215" s="5" t="str">
        <f t="shared" si="18"/>
        <v>low</v>
      </c>
      <c r="U215" s="1">
        <f t="shared" si="19"/>
        <v>6878.84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506.74399999999997</v>
      </c>
      <c r="Q216" s="1">
        <f t="shared" si="16"/>
        <v>2026.9759999999999</v>
      </c>
      <c r="R216" s="1" t="str">
        <f t="shared" si="17"/>
        <v>high</v>
      </c>
      <c r="S216" s="1" t="str" cm="1">
        <f t="array" ref="S216">_xlfn.IFS(L216&gt;5,"high",L216=5,"medium",L216&lt;5,"low")</f>
        <v>medium</v>
      </c>
      <c r="T216" s="5" t="str">
        <f t="shared" si="18"/>
        <v>medium</v>
      </c>
      <c r="U216" s="1">
        <f t="shared" si="19"/>
        <v>3167.1499999999996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230.70450000000002</v>
      </c>
      <c r="Q217" s="1">
        <f t="shared" si="16"/>
        <v>4383.3855000000003</v>
      </c>
      <c r="R217" s="1" t="str">
        <f t="shared" si="17"/>
        <v>high</v>
      </c>
      <c r="S217" s="1" t="str" cm="1">
        <f t="array" ref="S217">_xlfn.IFS(L217&gt;5,"high",L217=5,"medium",L217&lt;5,"low")</f>
        <v>high</v>
      </c>
      <c r="T217" s="5" t="str">
        <f t="shared" si="18"/>
        <v>high</v>
      </c>
      <c r="U217" s="1">
        <f t="shared" si="19"/>
        <v>4856.9400000000005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2134.6040000000003</v>
      </c>
      <c r="Q218" s="1">
        <f t="shared" si="16"/>
        <v>8538.4160000000011</v>
      </c>
      <c r="R218" s="1" t="str">
        <f t="shared" si="17"/>
        <v>low</v>
      </c>
      <c r="S218" s="1" t="str" cm="1">
        <f t="array" ref="S218">_xlfn.IFS(L218&gt;5,"high",L218=5,"medium",L218&lt;5,"low")</f>
        <v>low</v>
      </c>
      <c r="T218" s="5" t="str">
        <f t="shared" si="18"/>
        <v>low</v>
      </c>
      <c r="U218" s="1">
        <f t="shared" si="19"/>
        <v>13341.28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0</v>
      </c>
      <c r="Q219" s="1">
        <f t="shared" si="16"/>
        <v>4803.26</v>
      </c>
      <c r="R219" s="1" t="str">
        <f t="shared" si="17"/>
        <v>low</v>
      </c>
      <c r="S219" s="1" t="str" cm="1">
        <f t="array" ref="S219">_xlfn.IFS(L219&gt;5,"high",L219=5,"medium",L219&lt;5,"low")</f>
        <v>low</v>
      </c>
      <c r="T219" s="5" t="str">
        <f t="shared" si="18"/>
        <v>low</v>
      </c>
      <c r="U219" s="1">
        <f t="shared" si="19"/>
        <v>4803.26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0</v>
      </c>
      <c r="Q220" s="1">
        <f t="shared" si="16"/>
        <v>8697</v>
      </c>
      <c r="R220" s="1" t="str">
        <f t="shared" si="17"/>
        <v>high</v>
      </c>
      <c r="S220" s="1" t="str" cm="1">
        <f t="array" ref="S220">_xlfn.IFS(L220&gt;5,"high",L220=5,"medium",L220&lt;5,"low")</f>
        <v>high</v>
      </c>
      <c r="T220" s="5" t="str">
        <f t="shared" si="18"/>
        <v>high</v>
      </c>
      <c r="U220" s="1">
        <f t="shared" si="19"/>
        <v>8697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0</v>
      </c>
      <c r="Q221" s="1">
        <f t="shared" si="16"/>
        <v>25927.84</v>
      </c>
      <c r="R221" s="1" t="str">
        <f t="shared" si="17"/>
        <v>high</v>
      </c>
      <c r="S221" s="1" t="str" cm="1">
        <f t="array" ref="S221">_xlfn.IFS(L221&gt;5,"high",L221=5,"medium",L221&lt;5,"low")</f>
        <v>high</v>
      </c>
      <c r="T221" s="5" t="str">
        <f t="shared" si="18"/>
        <v>high</v>
      </c>
      <c r="U221" s="1">
        <f t="shared" si="19"/>
        <v>25927.84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791.35200000000009</v>
      </c>
      <c r="Q222" s="1">
        <f t="shared" si="16"/>
        <v>7122.1680000000006</v>
      </c>
      <c r="R222" s="1" t="str">
        <f t="shared" si="17"/>
        <v>high</v>
      </c>
      <c r="S222" s="1" t="str" cm="1">
        <f t="array" ref="S222">_xlfn.IFS(L222&gt;5,"high",L222=5,"medium",L222&lt;5,"low")</f>
        <v>high</v>
      </c>
      <c r="T222" s="5" t="str">
        <f t="shared" si="18"/>
        <v>high</v>
      </c>
      <c r="U222" s="1">
        <f t="shared" si="19"/>
        <v>8792.7999999999993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2461.8700000000003</v>
      </c>
      <c r="Q223" s="1">
        <f t="shared" si="16"/>
        <v>22156.83</v>
      </c>
      <c r="R223" s="1" t="str">
        <f t="shared" si="17"/>
        <v>high</v>
      </c>
      <c r="S223" s="1" t="str" cm="1">
        <f t="array" ref="S223">_xlfn.IFS(L223&gt;5,"high",L223=5,"medium",L223&lt;5,"low")</f>
        <v>high</v>
      </c>
      <c r="T223" s="5" t="str">
        <f t="shared" si="18"/>
        <v>high</v>
      </c>
      <c r="U223" s="1">
        <f t="shared" si="19"/>
        <v>27354.11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797.87700000000007</v>
      </c>
      <c r="Q224" s="1">
        <f t="shared" si="16"/>
        <v>7180.893</v>
      </c>
      <c r="R224" s="1" t="str">
        <f t="shared" si="17"/>
        <v>high</v>
      </c>
      <c r="S224" s="1" t="str" cm="1">
        <f t="array" ref="S224">_xlfn.IFS(L224&gt;5,"high",L224=5,"medium",L224&lt;5,"low")</f>
        <v>high</v>
      </c>
      <c r="T224" s="5" t="str">
        <f t="shared" si="18"/>
        <v>high</v>
      </c>
      <c r="U224" s="1">
        <f t="shared" si="19"/>
        <v>8865.2999999999993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463.56800000000004</v>
      </c>
      <c r="Q225" s="1">
        <f t="shared" si="16"/>
        <v>1854.2720000000002</v>
      </c>
      <c r="R225" s="1" t="str">
        <f t="shared" si="17"/>
        <v>low</v>
      </c>
      <c r="S225" s="1" t="str" cm="1">
        <f t="array" ref="S225">_xlfn.IFS(L225&gt;5,"high",L225=5,"medium",L225&lt;5,"low")</f>
        <v>low</v>
      </c>
      <c r="T225" s="5" t="str">
        <f t="shared" si="18"/>
        <v>low</v>
      </c>
      <c r="U225" s="1">
        <f t="shared" si="19"/>
        <v>2897.3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851.04200000000003</v>
      </c>
      <c r="Q226" s="1">
        <f t="shared" si="16"/>
        <v>7659.3779999999997</v>
      </c>
      <c r="R226" s="1" t="str">
        <f t="shared" si="17"/>
        <v>high</v>
      </c>
      <c r="S226" s="1" t="str" cm="1">
        <f t="array" ref="S226">_xlfn.IFS(L226&gt;5,"high",L226=5,"medium",L226&lt;5,"low")</f>
        <v>high</v>
      </c>
      <c r="T226" s="5" t="str">
        <f t="shared" si="18"/>
        <v>high</v>
      </c>
      <c r="U226" s="1">
        <f t="shared" si="19"/>
        <v>9456.0199999999986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147.28100000000001</v>
      </c>
      <c r="Q227" s="1">
        <f t="shared" si="16"/>
        <v>2798.3389999999999</v>
      </c>
      <c r="R227" s="1" t="str">
        <f t="shared" si="17"/>
        <v>high</v>
      </c>
      <c r="S227" s="1" t="str" cm="1">
        <f t="array" ref="S227">_xlfn.IFS(L227&gt;5,"high",L227=5,"medium",L227&lt;5,"low")</f>
        <v>medium</v>
      </c>
      <c r="T227" s="5" t="str">
        <f t="shared" si="18"/>
        <v>medium</v>
      </c>
      <c r="U227" s="1">
        <f t="shared" si="19"/>
        <v>3100.65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0</v>
      </c>
      <c r="Q228" s="1">
        <f t="shared" si="16"/>
        <v>3467.28</v>
      </c>
      <c r="R228" s="1" t="str">
        <f t="shared" si="17"/>
        <v>high</v>
      </c>
      <c r="S228" s="1" t="str" cm="1">
        <f t="array" ref="S228">_xlfn.IFS(L228&gt;5,"high",L228=5,"medium",L228&lt;5,"low")</f>
        <v>high</v>
      </c>
      <c r="T228" s="5" t="str">
        <f t="shared" si="18"/>
        <v>high</v>
      </c>
      <c r="U228" s="1">
        <f t="shared" si="19"/>
        <v>3467.2799999999997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3385.8559999999998</v>
      </c>
      <c r="Q229" s="1">
        <f t="shared" si="16"/>
        <v>13543.423999999999</v>
      </c>
      <c r="R229" s="1" t="str">
        <f t="shared" si="17"/>
        <v>high</v>
      </c>
      <c r="S229" s="1" t="str" cm="1">
        <f t="array" ref="S229">_xlfn.IFS(L229&gt;5,"high",L229=5,"medium",L229&lt;5,"low")</f>
        <v>high</v>
      </c>
      <c r="T229" s="5" t="str">
        <f t="shared" si="18"/>
        <v>high</v>
      </c>
      <c r="U229" s="1">
        <f t="shared" si="19"/>
        <v>21161.599999999999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0</v>
      </c>
      <c r="Q230" s="1">
        <f t="shared" si="16"/>
        <v>28153.599999999999</v>
      </c>
      <c r="R230" s="1" t="str">
        <f t="shared" si="17"/>
        <v>high</v>
      </c>
      <c r="S230" s="1" t="str" cm="1">
        <f t="array" ref="S230">_xlfn.IFS(L230&gt;5,"high",L230=5,"medium",L230&lt;5,"low")</f>
        <v>high</v>
      </c>
      <c r="T230" s="5" t="str">
        <f t="shared" si="18"/>
        <v>high</v>
      </c>
      <c r="U230" s="1">
        <f t="shared" si="19"/>
        <v>28153.599999999999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862.24500000000012</v>
      </c>
      <c r="Q231" s="1">
        <f t="shared" si="16"/>
        <v>7760.2050000000008</v>
      </c>
      <c r="R231" s="1" t="str">
        <f t="shared" si="17"/>
        <v>low</v>
      </c>
      <c r="S231" s="1" t="str" cm="1">
        <f t="array" ref="S231">_xlfn.IFS(L231&gt;5,"high",L231=5,"medium",L231&lt;5,"low")</f>
        <v>low</v>
      </c>
      <c r="T231" s="5" t="str">
        <f t="shared" si="18"/>
        <v>low</v>
      </c>
      <c r="U231" s="1">
        <f t="shared" si="19"/>
        <v>9580.5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776.45200000000011</v>
      </c>
      <c r="Q232" s="1">
        <f t="shared" si="16"/>
        <v>3105.808</v>
      </c>
      <c r="R232" s="1" t="str">
        <f t="shared" si="17"/>
        <v>high</v>
      </c>
      <c r="S232" s="1" t="str" cm="1">
        <f t="array" ref="S232">_xlfn.IFS(L232&gt;5,"high",L232=5,"medium",L232&lt;5,"low")</f>
        <v>high</v>
      </c>
      <c r="T232" s="5" t="str">
        <f t="shared" si="18"/>
        <v>high</v>
      </c>
      <c r="U232" s="1">
        <f t="shared" si="19"/>
        <v>4852.82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286.93799999999999</v>
      </c>
      <c r="Q233" s="1">
        <f t="shared" si="16"/>
        <v>1625.982</v>
      </c>
      <c r="R233" s="1" t="str">
        <f t="shared" si="17"/>
        <v>low</v>
      </c>
      <c r="S233" s="1" t="str" cm="1">
        <f t="array" ref="S233">_xlfn.IFS(L233&gt;5,"high",L233=5,"medium",L233&lt;5,"low")</f>
        <v>low</v>
      </c>
      <c r="T233" s="5" t="str">
        <f t="shared" si="18"/>
        <v>low</v>
      </c>
      <c r="U233" s="1">
        <f t="shared" si="19"/>
        <v>2250.4899999999998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26.435000000000002</v>
      </c>
      <c r="Q234" s="1">
        <f t="shared" si="16"/>
        <v>502.26500000000004</v>
      </c>
      <c r="R234" s="1" t="str">
        <f t="shared" si="17"/>
        <v>low</v>
      </c>
      <c r="S234" s="1" t="str" cm="1">
        <f t="array" ref="S234">_xlfn.IFS(L234&gt;5,"high",L234=5,"medium",L234&lt;5,"low")</f>
        <v>low</v>
      </c>
      <c r="T234" s="5" t="str">
        <f t="shared" si="18"/>
        <v>low</v>
      </c>
      <c r="U234" s="1">
        <f t="shared" si="19"/>
        <v>556.53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204.35900000000001</v>
      </c>
      <c r="Q235" s="1">
        <f t="shared" si="16"/>
        <v>1839.231</v>
      </c>
      <c r="R235" s="1" t="str">
        <f t="shared" si="17"/>
        <v>high</v>
      </c>
      <c r="S235" s="1" t="str" cm="1">
        <f t="array" ref="S235">_xlfn.IFS(L235&gt;5,"high",L235=5,"medium",L235&lt;5,"low")</f>
        <v>high</v>
      </c>
      <c r="T235" s="5" t="str">
        <f t="shared" si="18"/>
        <v>high</v>
      </c>
      <c r="U235" s="1">
        <f t="shared" si="19"/>
        <v>2270.66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2168.4430000000002</v>
      </c>
      <c r="Q236" s="1">
        <f t="shared" si="16"/>
        <v>19515.987000000001</v>
      </c>
      <c r="R236" s="1" t="str">
        <f t="shared" si="17"/>
        <v>high</v>
      </c>
      <c r="S236" s="1" t="str" cm="1">
        <f t="array" ref="S236">_xlfn.IFS(L236&gt;5,"high",L236=5,"medium",L236&lt;5,"low")</f>
        <v>high</v>
      </c>
      <c r="T236" s="5" t="str">
        <f t="shared" si="18"/>
        <v>high</v>
      </c>
      <c r="U236" s="1">
        <f t="shared" si="19"/>
        <v>24093.81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734.9380000000001</v>
      </c>
      <c r="Q237" s="1">
        <f t="shared" si="16"/>
        <v>13963.822</v>
      </c>
      <c r="R237" s="1" t="str">
        <f t="shared" si="17"/>
        <v>high</v>
      </c>
      <c r="S237" s="1" t="str" cm="1">
        <f t="array" ref="S237">_xlfn.IFS(L237&gt;5,"high",L237=5,"medium",L237&lt;5,"low")</f>
        <v>high</v>
      </c>
      <c r="T237" s="5" t="str">
        <f t="shared" si="18"/>
        <v>high</v>
      </c>
      <c r="U237" s="1">
        <f t="shared" si="19"/>
        <v>15472.380000000001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110.625</v>
      </c>
      <c r="Q238" s="1">
        <f t="shared" si="16"/>
        <v>2101.875</v>
      </c>
      <c r="R238" s="1" t="str">
        <f t="shared" si="17"/>
        <v>high</v>
      </c>
      <c r="S238" s="1" t="str" cm="1">
        <f t="array" ref="S238">_xlfn.IFS(L238&gt;5,"high",L238=5,"medium",L238&lt;5,"low")</f>
        <v>medium</v>
      </c>
      <c r="T238" s="5" t="str">
        <f t="shared" si="18"/>
        <v>medium</v>
      </c>
      <c r="U238" s="1">
        <f t="shared" si="19"/>
        <v>2328.9500000000003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290.21100000000001</v>
      </c>
      <c r="Q239" s="1">
        <f t="shared" si="16"/>
        <v>1644.529</v>
      </c>
      <c r="R239" s="1" t="str">
        <f t="shared" si="17"/>
        <v>high</v>
      </c>
      <c r="S239" s="1" t="str" cm="1">
        <f t="array" ref="S239">_xlfn.IFS(L239&gt;5,"high",L239=5,"medium",L239&lt;5,"low")</f>
        <v>high</v>
      </c>
      <c r="T239" s="5" t="str">
        <f t="shared" si="18"/>
        <v>high</v>
      </c>
      <c r="U239" s="1">
        <f t="shared" si="19"/>
        <v>2276.16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712.90100000000007</v>
      </c>
      <c r="Q240" s="1">
        <f t="shared" si="16"/>
        <v>6416.1090000000004</v>
      </c>
      <c r="R240" s="1" t="str">
        <f t="shared" si="17"/>
        <v>low</v>
      </c>
      <c r="S240" s="1" t="str" cm="1">
        <f t="array" ref="S240">_xlfn.IFS(L240&gt;5,"high",L240=5,"medium",L240&lt;5,"low")</f>
        <v>low</v>
      </c>
      <c r="T240" s="5" t="str">
        <f t="shared" si="18"/>
        <v>low</v>
      </c>
      <c r="U240" s="1">
        <f t="shared" si="19"/>
        <v>7921.12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215.12</v>
      </c>
      <c r="Q241" s="1">
        <f t="shared" si="16"/>
        <v>1936.08</v>
      </c>
      <c r="R241" s="1" t="str">
        <f t="shared" si="17"/>
        <v>high</v>
      </c>
      <c r="S241" s="1" t="str" cm="1">
        <f t="array" ref="S241">_xlfn.IFS(L241&gt;5,"high",L241=5,"medium",L241&lt;5,"low")</f>
        <v>high</v>
      </c>
      <c r="T241" s="5" t="str">
        <f t="shared" si="18"/>
        <v>high</v>
      </c>
      <c r="U241" s="1">
        <f t="shared" si="19"/>
        <v>2390.2199999999998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0</v>
      </c>
      <c r="Q242" s="1">
        <f t="shared" si="16"/>
        <v>11168.58</v>
      </c>
      <c r="R242" s="1" t="str">
        <f t="shared" si="17"/>
        <v>high</v>
      </c>
      <c r="S242" s="1" t="str" cm="1">
        <f t="array" ref="S242">_xlfn.IFS(L242&gt;5,"high",L242=5,"medium",L242&lt;5,"low")</f>
        <v>high</v>
      </c>
      <c r="T242" s="5" t="str">
        <f t="shared" si="18"/>
        <v>high</v>
      </c>
      <c r="U242" s="1">
        <f t="shared" si="19"/>
        <v>11168.58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3013.6040000000003</v>
      </c>
      <c r="Q243" s="1">
        <f t="shared" si="16"/>
        <v>12054.416000000001</v>
      </c>
      <c r="R243" s="1" t="str">
        <f t="shared" si="17"/>
        <v>high</v>
      </c>
      <c r="S243" s="1" t="str" cm="1">
        <f t="array" ref="S243">_xlfn.IFS(L243&gt;5,"high",L243=5,"medium",L243&lt;5,"low")</f>
        <v>high</v>
      </c>
      <c r="T243" s="5" t="str">
        <f t="shared" si="18"/>
        <v>high</v>
      </c>
      <c r="U243" s="1">
        <f t="shared" si="19"/>
        <v>18835.02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192.49</v>
      </c>
      <c r="Q244" s="1">
        <f t="shared" si="16"/>
        <v>769.96</v>
      </c>
      <c r="R244" s="1" t="str">
        <f t="shared" si="17"/>
        <v>low</v>
      </c>
      <c r="S244" s="1" t="str" cm="1">
        <f t="array" ref="S244">_xlfn.IFS(L244&gt;5,"high",L244=5,"medium",L244&lt;5,"low")</f>
        <v>low</v>
      </c>
      <c r="T244" s="5" t="str">
        <f t="shared" si="18"/>
        <v>low</v>
      </c>
      <c r="U244" s="1">
        <f t="shared" si="19"/>
        <v>1203.06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0</v>
      </c>
      <c r="Q245" s="1">
        <f t="shared" si="16"/>
        <v>2402.67</v>
      </c>
      <c r="R245" s="1" t="str">
        <f t="shared" si="17"/>
        <v>low</v>
      </c>
      <c r="S245" s="1" t="str" cm="1">
        <f t="array" ref="S245">_xlfn.IFS(L245&gt;5,"high",L245=5,"medium",L245&lt;5,"low")</f>
        <v>low</v>
      </c>
      <c r="T245" s="5" t="str">
        <f t="shared" si="18"/>
        <v>low</v>
      </c>
      <c r="U245" s="1">
        <f t="shared" si="19"/>
        <v>2402.67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1925.6959999999999</v>
      </c>
      <c r="Q246" s="1">
        <f t="shared" si="16"/>
        <v>7702.7839999999997</v>
      </c>
      <c r="R246" s="1" t="str">
        <f t="shared" si="17"/>
        <v>high</v>
      </c>
      <c r="S246" s="1" t="str" cm="1">
        <f t="array" ref="S246">_xlfn.IFS(L246&gt;5,"high",L246=5,"medium",L246&lt;5,"low")</f>
        <v>high</v>
      </c>
      <c r="T246" s="5" t="str">
        <f t="shared" si="18"/>
        <v>high</v>
      </c>
      <c r="U246" s="1">
        <f t="shared" si="19"/>
        <v>12035.6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146.41650000000001</v>
      </c>
      <c r="Q247" s="1">
        <f t="shared" si="16"/>
        <v>2781.9135000000001</v>
      </c>
      <c r="R247" s="1" t="str">
        <f t="shared" si="17"/>
        <v>low</v>
      </c>
      <c r="S247" s="1" t="str" cm="1">
        <f t="array" ref="S247">_xlfn.IFS(L247&gt;5,"high",L247=5,"medium",L247&lt;5,"low")</f>
        <v>low</v>
      </c>
      <c r="T247" s="5" t="str">
        <f t="shared" si="18"/>
        <v>low</v>
      </c>
      <c r="U247" s="1">
        <f t="shared" si="19"/>
        <v>3082.45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2354.5419999999999</v>
      </c>
      <c r="Q248" s="1">
        <f t="shared" si="16"/>
        <v>9418.1679999999997</v>
      </c>
      <c r="R248" s="1" t="str">
        <f t="shared" si="17"/>
        <v>high</v>
      </c>
      <c r="S248" s="1" t="str" cm="1">
        <f t="array" ref="S248">_xlfn.IFS(L248&gt;5,"high",L248=5,"medium",L248&lt;5,"low")</f>
        <v>high</v>
      </c>
      <c r="T248" s="5" t="str">
        <f t="shared" si="18"/>
        <v>high</v>
      </c>
      <c r="U248" s="1">
        <f t="shared" si="19"/>
        <v>14715.89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2918.63</v>
      </c>
      <c r="Q249" s="1">
        <f t="shared" si="16"/>
        <v>11674.52</v>
      </c>
      <c r="R249" s="1" t="str">
        <f t="shared" si="17"/>
        <v>high</v>
      </c>
      <c r="S249" s="1" t="str" cm="1">
        <f t="array" ref="S249">_xlfn.IFS(L249&gt;5,"high",L249=5,"medium",L249&lt;5,"low")</f>
        <v>high</v>
      </c>
      <c r="T249" s="5" t="str">
        <f t="shared" si="18"/>
        <v>high</v>
      </c>
      <c r="U249" s="1">
        <f t="shared" si="19"/>
        <v>18241.440000000002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0</v>
      </c>
      <c r="Q250" s="1">
        <f t="shared" si="16"/>
        <v>3942.92</v>
      </c>
      <c r="R250" s="1" t="str">
        <f t="shared" si="17"/>
        <v>low</v>
      </c>
      <c r="S250" s="1" t="str" cm="1">
        <f t="array" ref="S250">_xlfn.IFS(L250&gt;5,"high",L250=5,"medium",L250&lt;5,"low")</f>
        <v>low</v>
      </c>
      <c r="T250" s="5" t="str">
        <f t="shared" si="18"/>
        <v>low</v>
      </c>
      <c r="U250" s="1">
        <f t="shared" si="19"/>
        <v>3942.92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3565.0754999999995</v>
      </c>
      <c r="Q251" s="1">
        <f t="shared" si="16"/>
        <v>20202.094499999999</v>
      </c>
      <c r="R251" s="1" t="str">
        <f t="shared" si="17"/>
        <v>high</v>
      </c>
      <c r="S251" s="1" t="str" cm="1">
        <f t="array" ref="S251">_xlfn.IFS(L251&gt;5,"high",L251=5,"medium",L251&lt;5,"low")</f>
        <v>high</v>
      </c>
      <c r="T251" s="5" t="str">
        <f t="shared" si="18"/>
        <v>high</v>
      </c>
      <c r="U251" s="1">
        <f t="shared" si="19"/>
        <v>27961.38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2332.5320000000002</v>
      </c>
      <c r="Q252" s="1">
        <f t="shared" si="16"/>
        <v>9330.1280000000006</v>
      </c>
      <c r="R252" s="1" t="str">
        <f t="shared" si="17"/>
        <v>high</v>
      </c>
      <c r="S252" s="1" t="str" cm="1">
        <f t="array" ref="S252">_xlfn.IFS(L252&gt;5,"high",L252=5,"medium",L252&lt;5,"low")</f>
        <v>high</v>
      </c>
      <c r="T252" s="5" t="str">
        <f t="shared" si="18"/>
        <v>high</v>
      </c>
      <c r="U252" s="1">
        <f t="shared" si="19"/>
        <v>14578.32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1196.0319999999999</v>
      </c>
      <c r="Q253" s="1">
        <f t="shared" si="16"/>
        <v>4784.1279999999997</v>
      </c>
      <c r="R253" s="1" t="str">
        <f t="shared" si="17"/>
        <v>low</v>
      </c>
      <c r="S253" s="1" t="str" cm="1">
        <f t="array" ref="S253">_xlfn.IFS(L253&gt;5,"high",L253=5,"medium",L253&lt;5,"low")</f>
        <v>low</v>
      </c>
      <c r="T253" s="5" t="str">
        <f t="shared" si="18"/>
        <v>low</v>
      </c>
      <c r="U253" s="1">
        <f t="shared" si="19"/>
        <v>7475.2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1614.3225</v>
      </c>
      <c r="Q254" s="1">
        <f t="shared" si="16"/>
        <v>9147.8274999999994</v>
      </c>
      <c r="R254" s="1" t="str">
        <f t="shared" si="17"/>
        <v>high</v>
      </c>
      <c r="S254" s="1" t="str" cm="1">
        <f t="array" ref="S254">_xlfn.IFS(L254&gt;5,"high",L254=5,"medium",L254&lt;5,"low")</f>
        <v>medium</v>
      </c>
      <c r="T254" s="5" t="str">
        <f t="shared" si="18"/>
        <v>medium</v>
      </c>
      <c r="U254" s="1">
        <f t="shared" si="19"/>
        <v>12661.35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0</v>
      </c>
      <c r="Q255" s="1">
        <f t="shared" si="16"/>
        <v>5423.32</v>
      </c>
      <c r="R255" s="1" t="str">
        <f t="shared" si="17"/>
        <v>low</v>
      </c>
      <c r="S255" s="1" t="str" cm="1">
        <f t="array" ref="S255">_xlfn.IFS(L255&gt;5,"high",L255=5,"medium",L255&lt;5,"low")</f>
        <v>low</v>
      </c>
      <c r="T255" s="5" t="str">
        <f t="shared" si="18"/>
        <v>low</v>
      </c>
      <c r="U255" s="1">
        <f t="shared" si="19"/>
        <v>5423.32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2384.2064999999998</v>
      </c>
      <c r="Q256" s="1">
        <f t="shared" si="16"/>
        <v>13510.503499999999</v>
      </c>
      <c r="R256" s="1" t="str">
        <f t="shared" si="17"/>
        <v>high</v>
      </c>
      <c r="S256" s="1" t="str" cm="1">
        <f t="array" ref="S256">_xlfn.IFS(L256&gt;5,"high",L256=5,"medium",L256&lt;5,"low")</f>
        <v>high</v>
      </c>
      <c r="T256" s="5" t="str">
        <f t="shared" si="18"/>
        <v>high</v>
      </c>
      <c r="U256" s="1">
        <f t="shared" si="19"/>
        <v>18699.659999999996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0</v>
      </c>
      <c r="Q257" s="1">
        <f t="shared" si="16"/>
        <v>15796.32</v>
      </c>
      <c r="R257" s="1" t="str">
        <f t="shared" si="17"/>
        <v>high</v>
      </c>
      <c r="S257" s="1" t="str" cm="1">
        <f t="array" ref="S257">_xlfn.IFS(L257&gt;5,"high",L257=5,"medium",L257&lt;5,"low")</f>
        <v>high</v>
      </c>
      <c r="T257" s="5" t="str">
        <f t="shared" si="18"/>
        <v>high</v>
      </c>
      <c r="U257" s="1">
        <f t="shared" si="19"/>
        <v>15796.32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34.285500000000006</v>
      </c>
      <c r="Q258" s="1">
        <f t="shared" si="16"/>
        <v>651.42450000000008</v>
      </c>
      <c r="R258" s="1" t="str">
        <f t="shared" si="17"/>
        <v>low</v>
      </c>
      <c r="S258" s="1" t="str" cm="1">
        <f t="array" ref="S258">_xlfn.IFS(L258&gt;5,"high",L258=5,"medium",L258&lt;5,"low")</f>
        <v>low</v>
      </c>
      <c r="T258" s="5" t="str">
        <f t="shared" si="18"/>
        <v>low</v>
      </c>
      <c r="U258" s="1">
        <f t="shared" si="19"/>
        <v>721.8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O259*N259%</f>
        <v>0</v>
      </c>
      <c r="Q259" s="1">
        <f t="shared" ref="Q259:Q322" si="21">O259-P259</f>
        <v>12628.35</v>
      </c>
      <c r="R259" s="1" t="str">
        <f t="shared" ref="R259:R322" si="22">IF(L259&gt;=5,"high","low")</f>
        <v>high</v>
      </c>
      <c r="S259" s="1" t="str" cm="1">
        <f t="array" ref="S259">_xlfn.IFS(L259&gt;5,"high",L259=5,"medium",L259&lt;5,"low")</f>
        <v>high</v>
      </c>
      <c r="T259" s="5" t="str">
        <f t="shared" ref="T259:T322" si="23">IF(L259&gt;5,"high",IF(L259=5,"medium","low"))</f>
        <v>high</v>
      </c>
      <c r="U259" s="1">
        <f t="shared" ref="U259:U322" si="24">L259*M259</f>
        <v>12628.35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523.22149999999999</v>
      </c>
      <c r="Q260" s="1">
        <f t="shared" si="21"/>
        <v>9941.2085000000006</v>
      </c>
      <c r="R260" s="1" t="str">
        <f t="shared" si="22"/>
        <v>high</v>
      </c>
      <c r="S260" s="1" t="str" cm="1">
        <f t="array" ref="S260">_xlfn.IFS(L260&gt;5,"high",L260=5,"medium",L260&lt;5,"low")</f>
        <v>high</v>
      </c>
      <c r="T260" s="5" t="str">
        <f t="shared" si="23"/>
        <v>high</v>
      </c>
      <c r="U260" s="1">
        <f t="shared" si="24"/>
        <v>11015.19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92.242999999999995</v>
      </c>
      <c r="Q261" s="1">
        <f t="shared" si="21"/>
        <v>1752.617</v>
      </c>
      <c r="R261" s="1" t="str">
        <f t="shared" si="22"/>
        <v>low</v>
      </c>
      <c r="S261" s="1" t="str" cm="1">
        <f t="array" ref="S261">_xlfn.IFS(L261&gt;5,"high",L261=5,"medium",L261&lt;5,"low")</f>
        <v>low</v>
      </c>
      <c r="T261" s="5" t="str">
        <f t="shared" si="23"/>
        <v>low</v>
      </c>
      <c r="U261" s="1">
        <f t="shared" si="24"/>
        <v>1941.96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0</v>
      </c>
      <c r="Q262" s="1">
        <f t="shared" si="21"/>
        <v>1066.5</v>
      </c>
      <c r="R262" s="1" t="str">
        <f t="shared" si="22"/>
        <v>low</v>
      </c>
      <c r="S262" s="1" t="str" cm="1">
        <f t="array" ref="S262">_xlfn.IFS(L262&gt;5,"high",L262=5,"medium",L262&lt;5,"low")</f>
        <v>low</v>
      </c>
      <c r="T262" s="5" t="str">
        <f t="shared" si="23"/>
        <v>low</v>
      </c>
      <c r="U262" s="1">
        <f t="shared" si="24"/>
        <v>1066.5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1557.5430000000001</v>
      </c>
      <c r="Q263" s="1">
        <f t="shared" si="21"/>
        <v>14017.887000000001</v>
      </c>
      <c r="R263" s="1" t="str">
        <f t="shared" si="22"/>
        <v>high</v>
      </c>
      <c r="S263" s="1" t="str" cm="1">
        <f t="array" ref="S263">_xlfn.IFS(L263&gt;5,"high",L263=5,"medium",L263&lt;5,"low")</f>
        <v>high</v>
      </c>
      <c r="T263" s="5" t="str">
        <f t="shared" si="23"/>
        <v>high</v>
      </c>
      <c r="U263" s="1">
        <f t="shared" si="24"/>
        <v>17306.03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0</v>
      </c>
      <c r="Q264" s="1">
        <f t="shared" si="21"/>
        <v>15161.02</v>
      </c>
      <c r="R264" s="1" t="str">
        <f t="shared" si="22"/>
        <v>high</v>
      </c>
      <c r="S264" s="1" t="str" cm="1">
        <f t="array" ref="S264">_xlfn.IFS(L264&gt;5,"high",L264=5,"medium",L264&lt;5,"low")</f>
        <v>high</v>
      </c>
      <c r="T264" s="5" t="str">
        <f t="shared" si="23"/>
        <v>high</v>
      </c>
      <c r="U264" s="1">
        <f t="shared" si="24"/>
        <v>15161.02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720.83199999999999</v>
      </c>
      <c r="Q265" s="1">
        <f t="shared" si="21"/>
        <v>2883.328</v>
      </c>
      <c r="R265" s="1" t="str">
        <f t="shared" si="22"/>
        <v>low</v>
      </c>
      <c r="S265" s="1" t="str" cm="1">
        <f t="array" ref="S265">_xlfn.IFS(L265&gt;5,"high",L265=5,"medium",L265&lt;5,"low")</f>
        <v>low</v>
      </c>
      <c r="T265" s="5" t="str">
        <f t="shared" si="23"/>
        <v>low</v>
      </c>
      <c r="U265" s="1">
        <f t="shared" si="24"/>
        <v>4505.2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2826.9500000000003</v>
      </c>
      <c r="Q266" s="1">
        <f t="shared" si="21"/>
        <v>11307.8</v>
      </c>
      <c r="R266" s="1" t="str">
        <f t="shared" si="22"/>
        <v>high</v>
      </c>
      <c r="S266" s="1" t="str" cm="1">
        <f t="array" ref="S266">_xlfn.IFS(L266&gt;5,"high",L266=5,"medium",L266&lt;5,"low")</f>
        <v>high</v>
      </c>
      <c r="T266" s="5" t="str">
        <f t="shared" si="23"/>
        <v>high</v>
      </c>
      <c r="U266" s="1">
        <f t="shared" si="24"/>
        <v>17668.440000000002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1472.4650000000001</v>
      </c>
      <c r="Q267" s="1">
        <f t="shared" si="21"/>
        <v>13252.184999999999</v>
      </c>
      <c r="R267" s="1" t="str">
        <f t="shared" si="22"/>
        <v>high</v>
      </c>
      <c r="S267" s="1" t="str" cm="1">
        <f t="array" ref="S267">_xlfn.IFS(L267&gt;5,"high",L267=5,"medium",L267&lt;5,"low")</f>
        <v>high</v>
      </c>
      <c r="T267" s="5" t="str">
        <f t="shared" si="23"/>
        <v>high</v>
      </c>
      <c r="U267" s="1">
        <f t="shared" si="24"/>
        <v>16360.72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42.787000000000006</v>
      </c>
      <c r="Q268" s="1">
        <f t="shared" si="21"/>
        <v>812.95299999999997</v>
      </c>
      <c r="R268" s="1" t="str">
        <f t="shared" si="22"/>
        <v>low</v>
      </c>
      <c r="S268" s="1" t="str" cm="1">
        <f t="array" ref="S268">_xlfn.IFS(L268&gt;5,"high",L268=5,"medium",L268&lt;5,"low")</f>
        <v>low</v>
      </c>
      <c r="T268" s="5" t="str">
        <f t="shared" si="23"/>
        <v>low</v>
      </c>
      <c r="U268" s="1">
        <f t="shared" si="24"/>
        <v>900.78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239.45000000000002</v>
      </c>
      <c r="Q269" s="1">
        <f t="shared" si="21"/>
        <v>2155.0500000000002</v>
      </c>
      <c r="R269" s="1" t="str">
        <f t="shared" si="22"/>
        <v>low</v>
      </c>
      <c r="S269" s="1" t="str" cm="1">
        <f t="array" ref="S269">_xlfn.IFS(L269&gt;5,"high",L269=5,"medium",L269&lt;5,"low")</f>
        <v>low</v>
      </c>
      <c r="T269" s="5" t="str">
        <f t="shared" si="23"/>
        <v>low</v>
      </c>
      <c r="U269" s="1">
        <f t="shared" si="24"/>
        <v>2660.56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2525.232</v>
      </c>
      <c r="Q270" s="1">
        <f t="shared" si="21"/>
        <v>10100.928</v>
      </c>
      <c r="R270" s="1" t="str">
        <f t="shared" si="22"/>
        <v>high</v>
      </c>
      <c r="S270" s="1" t="str" cm="1">
        <f t="array" ref="S270">_xlfn.IFS(L270&gt;5,"high",L270=5,"medium",L270&lt;5,"low")</f>
        <v>medium</v>
      </c>
      <c r="T270" s="5" t="str">
        <f t="shared" si="23"/>
        <v>medium</v>
      </c>
      <c r="U270" s="1">
        <f t="shared" si="24"/>
        <v>15782.7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1726.45</v>
      </c>
      <c r="Q271" s="1">
        <f t="shared" si="21"/>
        <v>15538.05</v>
      </c>
      <c r="R271" s="1" t="str">
        <f t="shared" si="22"/>
        <v>high</v>
      </c>
      <c r="S271" s="1" t="str" cm="1">
        <f t="array" ref="S271">_xlfn.IFS(L271&gt;5,"high",L271=5,"medium",L271&lt;5,"low")</f>
        <v>high</v>
      </c>
      <c r="T271" s="5" t="str">
        <f t="shared" si="23"/>
        <v>high</v>
      </c>
      <c r="U271" s="1">
        <f t="shared" si="24"/>
        <v>19182.78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0</v>
      </c>
      <c r="Q272" s="1">
        <f t="shared" si="21"/>
        <v>7408.53</v>
      </c>
      <c r="R272" s="1" t="str">
        <f t="shared" si="22"/>
        <v>low</v>
      </c>
      <c r="S272" s="1" t="str" cm="1">
        <f t="array" ref="S272">_xlfn.IFS(L272&gt;5,"high",L272=5,"medium",L272&lt;5,"low")</f>
        <v>low</v>
      </c>
      <c r="T272" s="5" t="str">
        <f t="shared" si="23"/>
        <v>low</v>
      </c>
      <c r="U272" s="1">
        <f t="shared" si="24"/>
        <v>7408.5300000000007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1717.046</v>
      </c>
      <c r="Q273" s="1">
        <f t="shared" si="21"/>
        <v>15453.413999999999</v>
      </c>
      <c r="R273" s="1" t="str">
        <f t="shared" si="22"/>
        <v>high</v>
      </c>
      <c r="S273" s="1" t="str" cm="1">
        <f t="array" ref="S273">_xlfn.IFS(L273&gt;5,"high",L273=5,"medium",L273&lt;5,"low")</f>
        <v>high</v>
      </c>
      <c r="T273" s="5" t="str">
        <f t="shared" si="23"/>
        <v>high</v>
      </c>
      <c r="U273" s="1">
        <f t="shared" si="24"/>
        <v>19078.29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109.69100000000002</v>
      </c>
      <c r="Q274" s="1">
        <f t="shared" si="21"/>
        <v>2084.1290000000004</v>
      </c>
      <c r="R274" s="1" t="str">
        <f t="shared" si="22"/>
        <v>high</v>
      </c>
      <c r="S274" s="1" t="str" cm="1">
        <f t="array" ref="S274">_xlfn.IFS(L274&gt;5,"high",L274=5,"medium",L274&lt;5,"low")</f>
        <v>high</v>
      </c>
      <c r="T274" s="5" t="str">
        <f t="shared" si="23"/>
        <v>high</v>
      </c>
      <c r="U274" s="1">
        <f t="shared" si="24"/>
        <v>2309.2799999999997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0</v>
      </c>
      <c r="Q275" s="1">
        <f t="shared" si="21"/>
        <v>5032.6000000000004</v>
      </c>
      <c r="R275" s="1" t="str">
        <f t="shared" si="22"/>
        <v>low</v>
      </c>
      <c r="S275" s="1" t="str" cm="1">
        <f t="array" ref="S275">_xlfn.IFS(L275&gt;5,"high",L275=5,"medium",L275&lt;5,"low")</f>
        <v>low</v>
      </c>
      <c r="T275" s="5" t="str">
        <f t="shared" si="23"/>
        <v>low</v>
      </c>
      <c r="U275" s="1">
        <f t="shared" si="24"/>
        <v>5032.6000000000004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454.37099999999998</v>
      </c>
      <c r="Q276" s="1">
        <f t="shared" si="21"/>
        <v>2574.7689999999998</v>
      </c>
      <c r="R276" s="1" t="str">
        <f t="shared" si="22"/>
        <v>high</v>
      </c>
      <c r="S276" s="1" t="str" cm="1">
        <f t="array" ref="S276">_xlfn.IFS(L276&gt;5,"high",L276=5,"medium",L276&lt;5,"low")</f>
        <v>high</v>
      </c>
      <c r="T276" s="5" t="str">
        <f t="shared" si="23"/>
        <v>high</v>
      </c>
      <c r="U276" s="1">
        <f t="shared" si="24"/>
        <v>3563.7000000000003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4941.7220000000007</v>
      </c>
      <c r="Q277" s="1">
        <f t="shared" si="21"/>
        <v>19766.887999999999</v>
      </c>
      <c r="R277" s="1" t="str">
        <f t="shared" si="22"/>
        <v>high</v>
      </c>
      <c r="S277" s="1" t="str" cm="1">
        <f t="array" ref="S277">_xlfn.IFS(L277&gt;5,"high",L277=5,"medium",L277&lt;5,"low")</f>
        <v>high</v>
      </c>
      <c r="T277" s="5" t="str">
        <f t="shared" si="23"/>
        <v>high</v>
      </c>
      <c r="U277" s="1">
        <f t="shared" si="24"/>
        <v>30885.759999999998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964.88600000000008</v>
      </c>
      <c r="Q278" s="1">
        <f t="shared" si="21"/>
        <v>3859.5440000000003</v>
      </c>
      <c r="R278" s="1" t="str">
        <f t="shared" si="22"/>
        <v>high</v>
      </c>
      <c r="S278" s="1" t="str" cm="1">
        <f t="array" ref="S278">_xlfn.IFS(L278&gt;5,"high",L278=5,"medium",L278&lt;5,"low")</f>
        <v>high</v>
      </c>
      <c r="T278" s="5" t="str">
        <f t="shared" si="23"/>
        <v>high</v>
      </c>
      <c r="U278" s="1">
        <f t="shared" si="24"/>
        <v>6030.5399999999991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396.54400000000004</v>
      </c>
      <c r="Q279" s="1">
        <f t="shared" si="21"/>
        <v>3568.8960000000002</v>
      </c>
      <c r="R279" s="1" t="str">
        <f t="shared" si="22"/>
        <v>high</v>
      </c>
      <c r="S279" s="1" t="str" cm="1">
        <f t="array" ref="S279">_xlfn.IFS(L279&gt;5,"high",L279=5,"medium",L279&lt;5,"low")</f>
        <v>high</v>
      </c>
      <c r="T279" s="5" t="str">
        <f t="shared" si="23"/>
        <v>high</v>
      </c>
      <c r="U279" s="1">
        <f t="shared" si="24"/>
        <v>4406.04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0</v>
      </c>
      <c r="Q280" s="1">
        <f t="shared" si="21"/>
        <v>21449.22</v>
      </c>
      <c r="R280" s="1" t="str">
        <f t="shared" si="22"/>
        <v>high</v>
      </c>
      <c r="S280" s="1" t="str" cm="1">
        <f t="array" ref="S280">_xlfn.IFS(L280&gt;5,"high",L280=5,"medium",L280&lt;5,"low")</f>
        <v>high</v>
      </c>
      <c r="T280" s="5" t="str">
        <f t="shared" si="23"/>
        <v>high</v>
      </c>
      <c r="U280" s="1">
        <f t="shared" si="24"/>
        <v>21449.22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3859.8029999999999</v>
      </c>
      <c r="Q281" s="1">
        <f t="shared" si="21"/>
        <v>21872.217000000001</v>
      </c>
      <c r="R281" s="1" t="str">
        <f t="shared" si="22"/>
        <v>high</v>
      </c>
      <c r="S281" s="1" t="str" cm="1">
        <f t="array" ref="S281">_xlfn.IFS(L281&gt;5,"high",L281=5,"medium",L281&lt;5,"low")</f>
        <v>high</v>
      </c>
      <c r="T281" s="5" t="str">
        <f t="shared" si="23"/>
        <v>high</v>
      </c>
      <c r="U281" s="1">
        <f t="shared" si="24"/>
        <v>30272.959999999999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0</v>
      </c>
      <c r="Q282" s="1">
        <f t="shared" si="21"/>
        <v>15492.2</v>
      </c>
      <c r="R282" s="1" t="str">
        <f t="shared" si="22"/>
        <v>high</v>
      </c>
      <c r="S282" s="1" t="str" cm="1">
        <f t="array" ref="S282">_xlfn.IFS(L282&gt;5,"high",L282=5,"medium",L282&lt;5,"low")</f>
        <v>medium</v>
      </c>
      <c r="T282" s="5" t="str">
        <f t="shared" si="23"/>
        <v>medium</v>
      </c>
      <c r="U282" s="1">
        <f t="shared" si="24"/>
        <v>15492.2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81.988</v>
      </c>
      <c r="Q283" s="1">
        <f t="shared" si="21"/>
        <v>327.952</v>
      </c>
      <c r="R283" s="1" t="str">
        <f t="shared" si="22"/>
        <v>low</v>
      </c>
      <c r="S283" s="1" t="str" cm="1">
        <f t="array" ref="S283">_xlfn.IFS(L283&gt;5,"high",L283=5,"medium",L283&lt;5,"low")</f>
        <v>low</v>
      </c>
      <c r="T283" s="5" t="str">
        <f t="shared" si="23"/>
        <v>low</v>
      </c>
      <c r="U283" s="1">
        <f t="shared" si="24"/>
        <v>512.43000000000006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0</v>
      </c>
      <c r="Q284" s="1">
        <f t="shared" si="21"/>
        <v>465.54</v>
      </c>
      <c r="R284" s="1" t="str">
        <f t="shared" si="22"/>
        <v>low</v>
      </c>
      <c r="S284" s="1" t="str" cm="1">
        <f t="array" ref="S284">_xlfn.IFS(L284&gt;5,"high",L284=5,"medium",L284&lt;5,"low")</f>
        <v>low</v>
      </c>
      <c r="T284" s="5" t="str">
        <f t="shared" si="23"/>
        <v>low</v>
      </c>
      <c r="U284" s="1">
        <f t="shared" si="24"/>
        <v>465.54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1228.3530000000001</v>
      </c>
      <c r="Q285" s="1">
        <f t="shared" si="21"/>
        <v>6960.6670000000004</v>
      </c>
      <c r="R285" s="1" t="str">
        <f t="shared" si="22"/>
        <v>high</v>
      </c>
      <c r="S285" s="1" t="str" cm="1">
        <f t="array" ref="S285">_xlfn.IFS(L285&gt;5,"high",L285=5,"medium",L285&lt;5,"low")</f>
        <v>high</v>
      </c>
      <c r="T285" s="5" t="str">
        <f t="shared" si="23"/>
        <v>high</v>
      </c>
      <c r="U285" s="1">
        <f t="shared" si="24"/>
        <v>9634.14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126.373</v>
      </c>
      <c r="Q286" s="1">
        <f t="shared" si="21"/>
        <v>1137.357</v>
      </c>
      <c r="R286" s="1" t="str">
        <f t="shared" si="22"/>
        <v>low</v>
      </c>
      <c r="S286" s="1" t="str" cm="1">
        <f t="array" ref="S286">_xlfn.IFS(L286&gt;5,"high",L286=5,"medium",L286&lt;5,"low")</f>
        <v>low</v>
      </c>
      <c r="T286" s="5" t="str">
        <f t="shared" si="23"/>
        <v>low</v>
      </c>
      <c r="U286" s="1">
        <f t="shared" si="24"/>
        <v>1404.14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62.925000000000004</v>
      </c>
      <c r="Q287" s="1">
        <f t="shared" si="21"/>
        <v>1195.575</v>
      </c>
      <c r="R287" s="1" t="str">
        <f t="shared" si="22"/>
        <v>high</v>
      </c>
      <c r="S287" s="1" t="str" cm="1">
        <f t="array" ref="S287">_xlfn.IFS(L287&gt;5,"high",L287=5,"medium",L287&lt;5,"low")</f>
        <v>high</v>
      </c>
      <c r="T287" s="5" t="str">
        <f t="shared" si="23"/>
        <v>high</v>
      </c>
      <c r="U287" s="1">
        <f t="shared" si="24"/>
        <v>1324.74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0</v>
      </c>
      <c r="Q288" s="1">
        <f t="shared" si="21"/>
        <v>11619.96</v>
      </c>
      <c r="R288" s="1" t="str">
        <f t="shared" si="22"/>
        <v>high</v>
      </c>
      <c r="S288" s="1" t="str" cm="1">
        <f t="array" ref="S288">_xlfn.IFS(L288&gt;5,"high",L288=5,"medium",L288&lt;5,"low")</f>
        <v>high</v>
      </c>
      <c r="T288" s="5" t="str">
        <f t="shared" si="23"/>
        <v>high</v>
      </c>
      <c r="U288" s="1">
        <f t="shared" si="24"/>
        <v>11619.960000000001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1436.7</v>
      </c>
      <c r="Q289" s="1">
        <f t="shared" si="21"/>
        <v>27297.3</v>
      </c>
      <c r="R289" s="1" t="str">
        <f t="shared" si="22"/>
        <v>high</v>
      </c>
      <c r="S289" s="1" t="str" cm="1">
        <f t="array" ref="S289">_xlfn.IFS(L289&gt;5,"high",L289=5,"medium",L289&lt;5,"low")</f>
        <v>high</v>
      </c>
      <c r="T289" s="5" t="str">
        <f t="shared" si="23"/>
        <v>high</v>
      </c>
      <c r="U289" s="1">
        <f t="shared" si="24"/>
        <v>30246.32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1564.316</v>
      </c>
      <c r="Q290" s="1">
        <f t="shared" si="21"/>
        <v>6257.2640000000001</v>
      </c>
      <c r="R290" s="1" t="str">
        <f t="shared" si="22"/>
        <v>high</v>
      </c>
      <c r="S290" s="1" t="str" cm="1">
        <f t="array" ref="S290">_xlfn.IFS(L290&gt;5,"high",L290=5,"medium",L290&lt;5,"low")</f>
        <v>high</v>
      </c>
      <c r="T290" s="5" t="str">
        <f t="shared" si="23"/>
        <v>high</v>
      </c>
      <c r="U290" s="1">
        <f t="shared" si="24"/>
        <v>9776.9700000000012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1940.6810000000003</v>
      </c>
      <c r="Q291" s="1">
        <f t="shared" si="21"/>
        <v>17466.129000000001</v>
      </c>
      <c r="R291" s="1" t="str">
        <f t="shared" si="22"/>
        <v>high</v>
      </c>
      <c r="S291" s="1" t="str" cm="1">
        <f t="array" ref="S291">_xlfn.IFS(L291&gt;5,"high",L291=5,"medium",L291&lt;5,"low")</f>
        <v>high</v>
      </c>
      <c r="T291" s="5" t="str">
        <f t="shared" si="23"/>
        <v>high</v>
      </c>
      <c r="U291" s="1">
        <f t="shared" si="24"/>
        <v>21563.119999999999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2155.4990000000003</v>
      </c>
      <c r="Q292" s="1">
        <f t="shared" si="21"/>
        <v>19399.491000000002</v>
      </c>
      <c r="R292" s="1" t="str">
        <f t="shared" si="22"/>
        <v>high</v>
      </c>
      <c r="S292" s="1" t="str" cm="1">
        <f t="array" ref="S292">_xlfn.IFS(L292&gt;5,"high",L292=5,"medium",L292&lt;5,"low")</f>
        <v>high</v>
      </c>
      <c r="T292" s="5" t="str">
        <f t="shared" si="23"/>
        <v>high</v>
      </c>
      <c r="U292" s="1">
        <f t="shared" si="24"/>
        <v>23949.99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0</v>
      </c>
      <c r="Q293" s="1">
        <f t="shared" si="21"/>
        <v>6699.96</v>
      </c>
      <c r="R293" s="1" t="str">
        <f t="shared" si="22"/>
        <v>high</v>
      </c>
      <c r="S293" s="1" t="str" cm="1">
        <f t="array" ref="S293">_xlfn.IFS(L293&gt;5,"high",L293=5,"medium",L293&lt;5,"low")</f>
        <v>high</v>
      </c>
      <c r="T293" s="5" t="str">
        <f t="shared" si="23"/>
        <v>high</v>
      </c>
      <c r="U293" s="1">
        <f t="shared" si="24"/>
        <v>6699.9600000000009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716.61800000000005</v>
      </c>
      <c r="Q294" s="1">
        <f t="shared" si="21"/>
        <v>6449.5619999999999</v>
      </c>
      <c r="R294" s="1" t="str">
        <f t="shared" si="22"/>
        <v>low</v>
      </c>
      <c r="S294" s="1" t="str" cm="1">
        <f t="array" ref="S294">_xlfn.IFS(L294&gt;5,"high",L294=5,"medium",L294&lt;5,"low")</f>
        <v>low</v>
      </c>
      <c r="T294" s="5" t="str">
        <f t="shared" si="23"/>
        <v>low</v>
      </c>
      <c r="U294" s="1">
        <f t="shared" si="24"/>
        <v>7962.42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0</v>
      </c>
      <c r="Q295" s="1">
        <f t="shared" si="21"/>
        <v>2902.47</v>
      </c>
      <c r="R295" s="1" t="str">
        <f t="shared" si="22"/>
        <v>low</v>
      </c>
      <c r="S295" s="1" t="str" cm="1">
        <f t="array" ref="S295">_xlfn.IFS(L295&gt;5,"high",L295=5,"medium",L295&lt;5,"low")</f>
        <v>low</v>
      </c>
      <c r="T295" s="5" t="str">
        <f t="shared" si="23"/>
        <v>low</v>
      </c>
      <c r="U295" s="1">
        <f t="shared" si="24"/>
        <v>2902.4700000000003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0</v>
      </c>
      <c r="Q296" s="1">
        <f t="shared" si="21"/>
        <v>619.73</v>
      </c>
      <c r="R296" s="1" t="str">
        <f t="shared" si="22"/>
        <v>low</v>
      </c>
      <c r="S296" s="1" t="str" cm="1">
        <f t="array" ref="S296">_xlfn.IFS(L296&gt;5,"high",L296=5,"medium",L296&lt;5,"low")</f>
        <v>low</v>
      </c>
      <c r="T296" s="5" t="str">
        <f t="shared" si="23"/>
        <v>low</v>
      </c>
      <c r="U296" s="1">
        <f t="shared" si="24"/>
        <v>619.73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676.95350000000008</v>
      </c>
      <c r="Q297" s="1">
        <f t="shared" si="21"/>
        <v>12862.1165</v>
      </c>
      <c r="R297" s="1" t="str">
        <f t="shared" si="22"/>
        <v>high</v>
      </c>
      <c r="S297" s="1" t="str" cm="1">
        <f t="array" ref="S297">_xlfn.IFS(L297&gt;5,"high",L297=5,"medium",L297&lt;5,"low")</f>
        <v>medium</v>
      </c>
      <c r="T297" s="5" t="str">
        <f t="shared" si="23"/>
        <v>medium</v>
      </c>
      <c r="U297" s="1">
        <f t="shared" si="24"/>
        <v>14251.65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211.23000000000002</v>
      </c>
      <c r="Q298" s="1">
        <f t="shared" si="21"/>
        <v>1901.0700000000002</v>
      </c>
      <c r="R298" s="1" t="str">
        <f t="shared" si="22"/>
        <v>low</v>
      </c>
      <c r="S298" s="1" t="str" cm="1">
        <f t="array" ref="S298">_xlfn.IFS(L298&gt;5,"high",L298=5,"medium",L298&lt;5,"low")</f>
        <v>low</v>
      </c>
      <c r="T298" s="5" t="str">
        <f t="shared" si="23"/>
        <v>low</v>
      </c>
      <c r="U298" s="1">
        <f t="shared" si="24"/>
        <v>2347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0</v>
      </c>
      <c r="Q299" s="1">
        <f t="shared" si="21"/>
        <v>35892.9</v>
      </c>
      <c r="R299" s="1" t="str">
        <f t="shared" si="22"/>
        <v>high</v>
      </c>
      <c r="S299" s="1" t="str" cm="1">
        <f t="array" ref="S299">_xlfn.IFS(L299&gt;5,"high",L299=5,"medium",L299&lt;5,"low")</f>
        <v>high</v>
      </c>
      <c r="T299" s="5" t="str">
        <f t="shared" si="23"/>
        <v>high</v>
      </c>
      <c r="U299" s="1">
        <f t="shared" si="24"/>
        <v>35892.9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366.06400000000002</v>
      </c>
      <c r="Q300" s="1">
        <f t="shared" si="21"/>
        <v>6955.2159999999994</v>
      </c>
      <c r="R300" s="1" t="str">
        <f t="shared" si="22"/>
        <v>high</v>
      </c>
      <c r="S300" s="1" t="str" cm="1">
        <f t="array" ref="S300">_xlfn.IFS(L300&gt;5,"high",L300=5,"medium",L300&lt;5,"low")</f>
        <v>high</v>
      </c>
      <c r="T300" s="5" t="str">
        <f t="shared" si="23"/>
        <v>high</v>
      </c>
      <c r="U300" s="1">
        <f t="shared" si="24"/>
        <v>7706.61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1553.874</v>
      </c>
      <c r="Q301" s="1">
        <f t="shared" si="21"/>
        <v>8805.2860000000001</v>
      </c>
      <c r="R301" s="1" t="str">
        <f t="shared" si="22"/>
        <v>high</v>
      </c>
      <c r="S301" s="1" t="str" cm="1">
        <f t="array" ref="S301">_xlfn.IFS(L301&gt;5,"high",L301=5,"medium",L301&lt;5,"low")</f>
        <v>medium</v>
      </c>
      <c r="T301" s="5" t="str">
        <f t="shared" si="23"/>
        <v>medium</v>
      </c>
      <c r="U301" s="1">
        <f t="shared" si="24"/>
        <v>12187.25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329.42</v>
      </c>
      <c r="Q302" s="1">
        <f t="shared" si="21"/>
        <v>6258.98</v>
      </c>
      <c r="R302" s="1" t="str">
        <f t="shared" si="22"/>
        <v>low</v>
      </c>
      <c r="S302" s="1" t="str" cm="1">
        <f t="array" ref="S302">_xlfn.IFS(L302&gt;5,"high",L302=5,"medium",L302&lt;5,"low")</f>
        <v>low</v>
      </c>
      <c r="T302" s="5" t="str">
        <f t="shared" si="23"/>
        <v>low</v>
      </c>
      <c r="U302" s="1">
        <f t="shared" si="24"/>
        <v>6935.16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211.666</v>
      </c>
      <c r="Q303" s="1">
        <f t="shared" si="21"/>
        <v>4021.6539999999995</v>
      </c>
      <c r="R303" s="1" t="str">
        <f t="shared" si="22"/>
        <v>high</v>
      </c>
      <c r="S303" s="1" t="str" cm="1">
        <f t="array" ref="S303">_xlfn.IFS(L303&gt;5,"high",L303=5,"medium",L303&lt;5,"low")</f>
        <v>high</v>
      </c>
      <c r="T303" s="5" t="str">
        <f t="shared" si="23"/>
        <v>high</v>
      </c>
      <c r="U303" s="1">
        <f t="shared" si="24"/>
        <v>4456.13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0</v>
      </c>
      <c r="Q304" s="1">
        <f t="shared" si="21"/>
        <v>1543.2</v>
      </c>
      <c r="R304" s="1" t="str">
        <f t="shared" si="22"/>
        <v>high</v>
      </c>
      <c r="S304" s="1" t="str" cm="1">
        <f t="array" ref="S304">_xlfn.IFS(L304&gt;5,"high",L304=5,"medium",L304&lt;5,"low")</f>
        <v>high</v>
      </c>
      <c r="T304" s="5" t="str">
        <f t="shared" si="23"/>
        <v>high</v>
      </c>
      <c r="U304" s="1">
        <f t="shared" si="24"/>
        <v>1543.1999999999998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1630.4120000000003</v>
      </c>
      <c r="Q305" s="1">
        <f t="shared" si="21"/>
        <v>6521.6480000000001</v>
      </c>
      <c r="R305" s="1" t="str">
        <f t="shared" si="22"/>
        <v>low</v>
      </c>
      <c r="S305" s="1" t="str" cm="1">
        <f t="array" ref="S305">_xlfn.IFS(L305&gt;5,"high",L305=5,"medium",L305&lt;5,"low")</f>
        <v>low</v>
      </c>
      <c r="T305" s="5" t="str">
        <f t="shared" si="23"/>
        <v>low</v>
      </c>
      <c r="U305" s="1">
        <f t="shared" si="24"/>
        <v>10190.08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1041.9260000000002</v>
      </c>
      <c r="Q306" s="1">
        <f t="shared" si="21"/>
        <v>4167.7039999999997</v>
      </c>
      <c r="R306" s="1" t="str">
        <f t="shared" si="22"/>
        <v>low</v>
      </c>
      <c r="S306" s="1" t="str" cm="1">
        <f t="array" ref="S306">_xlfn.IFS(L306&gt;5,"high",L306=5,"medium",L306&lt;5,"low")</f>
        <v>low</v>
      </c>
      <c r="T306" s="5" t="str">
        <f t="shared" si="23"/>
        <v>low</v>
      </c>
      <c r="U306" s="1">
        <f t="shared" si="24"/>
        <v>6512.04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542.68200000000002</v>
      </c>
      <c r="Q307" s="1">
        <f t="shared" si="21"/>
        <v>2170.7280000000001</v>
      </c>
      <c r="R307" s="1" t="str">
        <f t="shared" si="22"/>
        <v>low</v>
      </c>
      <c r="S307" s="1" t="str" cm="1">
        <f t="array" ref="S307">_xlfn.IFS(L307&gt;5,"high",L307=5,"medium",L307&lt;5,"low")</f>
        <v>low</v>
      </c>
      <c r="T307" s="5" t="str">
        <f t="shared" si="23"/>
        <v>low</v>
      </c>
      <c r="U307" s="1">
        <f t="shared" si="24"/>
        <v>3391.76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381.60550000000001</v>
      </c>
      <c r="Q308" s="1">
        <f t="shared" si="21"/>
        <v>7250.5045</v>
      </c>
      <c r="R308" s="1" t="str">
        <f t="shared" si="22"/>
        <v>low</v>
      </c>
      <c r="S308" s="1" t="str" cm="1">
        <f t="array" ref="S308">_xlfn.IFS(L308&gt;5,"high",L308=5,"medium",L308&lt;5,"low")</f>
        <v>low</v>
      </c>
      <c r="T308" s="5" t="str">
        <f t="shared" si="23"/>
        <v>low</v>
      </c>
      <c r="U308" s="1">
        <f t="shared" si="24"/>
        <v>8033.8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0</v>
      </c>
      <c r="Q309" s="1">
        <f t="shared" si="21"/>
        <v>12572.8</v>
      </c>
      <c r="R309" s="1" t="str">
        <f t="shared" si="22"/>
        <v>low</v>
      </c>
      <c r="S309" s="1" t="str" cm="1">
        <f t="array" ref="S309">_xlfn.IFS(L309&gt;5,"high",L309=5,"medium",L309&lt;5,"low")</f>
        <v>low</v>
      </c>
      <c r="T309" s="5" t="str">
        <f t="shared" si="23"/>
        <v>low</v>
      </c>
      <c r="U309" s="1">
        <f t="shared" si="24"/>
        <v>12572.8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246.64099999999999</v>
      </c>
      <c r="Q310" s="1">
        <f t="shared" si="21"/>
        <v>2219.7689999999998</v>
      </c>
      <c r="R310" s="1" t="str">
        <f t="shared" si="22"/>
        <v>low</v>
      </c>
      <c r="S310" s="1" t="str" cm="1">
        <f t="array" ref="S310">_xlfn.IFS(L310&gt;5,"high",L310=5,"medium",L310&lt;5,"low")</f>
        <v>low</v>
      </c>
      <c r="T310" s="5" t="str">
        <f t="shared" si="23"/>
        <v>low</v>
      </c>
      <c r="U310" s="1">
        <f t="shared" si="24"/>
        <v>2740.46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837.43850000000009</v>
      </c>
      <c r="Q311" s="1">
        <f t="shared" si="21"/>
        <v>15911.3315</v>
      </c>
      <c r="R311" s="1" t="str">
        <f t="shared" si="22"/>
        <v>high</v>
      </c>
      <c r="S311" s="1" t="str" cm="1">
        <f t="array" ref="S311">_xlfn.IFS(L311&gt;5,"high",L311=5,"medium",L311&lt;5,"low")</f>
        <v>high</v>
      </c>
      <c r="T311" s="5" t="str">
        <f t="shared" si="23"/>
        <v>high</v>
      </c>
      <c r="U311" s="1">
        <f t="shared" si="24"/>
        <v>17630.28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388.83699999999999</v>
      </c>
      <c r="Q312" s="1">
        <f t="shared" si="21"/>
        <v>7387.9030000000002</v>
      </c>
      <c r="R312" s="1" t="str">
        <f t="shared" si="22"/>
        <v>low</v>
      </c>
      <c r="S312" s="1" t="str" cm="1">
        <f t="array" ref="S312">_xlfn.IFS(L312&gt;5,"high",L312=5,"medium",L312&lt;5,"low")</f>
        <v>low</v>
      </c>
      <c r="T312" s="5" t="str">
        <f t="shared" si="23"/>
        <v>low</v>
      </c>
      <c r="U312" s="1">
        <f t="shared" si="24"/>
        <v>8186.04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0</v>
      </c>
      <c r="Q313" s="1">
        <f t="shared" si="21"/>
        <v>2588.64</v>
      </c>
      <c r="R313" s="1" t="str">
        <f t="shared" si="22"/>
        <v>low</v>
      </c>
      <c r="S313" s="1" t="str" cm="1">
        <f t="array" ref="S313">_xlfn.IFS(L313&gt;5,"high",L313=5,"medium",L313&lt;5,"low")</f>
        <v>low</v>
      </c>
      <c r="T313" s="5" t="str">
        <f t="shared" si="23"/>
        <v>low</v>
      </c>
      <c r="U313" s="1">
        <f t="shared" si="24"/>
        <v>2588.64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414.53699999999998</v>
      </c>
      <c r="Q314" s="1">
        <f t="shared" si="21"/>
        <v>2349.0430000000001</v>
      </c>
      <c r="R314" s="1" t="str">
        <f t="shared" si="22"/>
        <v>low</v>
      </c>
      <c r="S314" s="1" t="str" cm="1">
        <f t="array" ref="S314">_xlfn.IFS(L314&gt;5,"high",L314=5,"medium",L314&lt;5,"low")</f>
        <v>low</v>
      </c>
      <c r="T314" s="5" t="str">
        <f t="shared" si="23"/>
        <v>low</v>
      </c>
      <c r="U314" s="1">
        <f t="shared" si="24"/>
        <v>3251.27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79.888000000000005</v>
      </c>
      <c r="Q315" s="1">
        <f t="shared" si="21"/>
        <v>1517.8720000000001</v>
      </c>
      <c r="R315" s="1" t="str">
        <f t="shared" si="22"/>
        <v>low</v>
      </c>
      <c r="S315" s="1" t="str" cm="1">
        <f t="array" ref="S315">_xlfn.IFS(L315&gt;5,"high",L315=5,"medium",L315&lt;5,"low")</f>
        <v>low</v>
      </c>
      <c r="T315" s="5" t="str">
        <f t="shared" si="23"/>
        <v>low</v>
      </c>
      <c r="U315" s="1">
        <f t="shared" si="24"/>
        <v>1681.85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3318.0810000000001</v>
      </c>
      <c r="Q316" s="1">
        <f t="shared" si="21"/>
        <v>18802.459000000003</v>
      </c>
      <c r="R316" s="1" t="str">
        <f t="shared" si="22"/>
        <v>high</v>
      </c>
      <c r="S316" s="1" t="str" cm="1">
        <f t="array" ref="S316">_xlfn.IFS(L316&gt;5,"high",L316=5,"medium",L316&lt;5,"low")</f>
        <v>high</v>
      </c>
      <c r="T316" s="5" t="str">
        <f t="shared" si="23"/>
        <v>high</v>
      </c>
      <c r="U316" s="1">
        <f t="shared" si="24"/>
        <v>26024.16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2477.8454999999999</v>
      </c>
      <c r="Q317" s="1">
        <f t="shared" si="21"/>
        <v>14041.124500000002</v>
      </c>
      <c r="R317" s="1" t="str">
        <f t="shared" si="22"/>
        <v>high</v>
      </c>
      <c r="S317" s="1" t="str" cm="1">
        <f t="array" ref="S317">_xlfn.IFS(L317&gt;5,"high",L317=5,"medium",L317&lt;5,"low")</f>
        <v>high</v>
      </c>
      <c r="T317" s="5" t="str">
        <f t="shared" si="23"/>
        <v>high</v>
      </c>
      <c r="U317" s="1">
        <f t="shared" si="24"/>
        <v>19434.080000000002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252.39000000000001</v>
      </c>
      <c r="Q318" s="1">
        <f t="shared" si="21"/>
        <v>1009.5600000000001</v>
      </c>
      <c r="R318" s="1" t="str">
        <f t="shared" si="22"/>
        <v>low</v>
      </c>
      <c r="S318" s="1" t="str" cm="1">
        <f t="array" ref="S318">_xlfn.IFS(L318&gt;5,"high",L318=5,"medium",L318&lt;5,"low")</f>
        <v>low</v>
      </c>
      <c r="T318" s="5" t="str">
        <f t="shared" si="23"/>
        <v>low</v>
      </c>
      <c r="U318" s="1">
        <f t="shared" si="24"/>
        <v>1577.44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0</v>
      </c>
      <c r="Q319" s="1">
        <f t="shared" si="21"/>
        <v>1715.21</v>
      </c>
      <c r="R319" s="1" t="str">
        <f t="shared" si="22"/>
        <v>high</v>
      </c>
      <c r="S319" s="1" t="str" cm="1">
        <f t="array" ref="S319">_xlfn.IFS(L319&gt;5,"high",L319=5,"medium",L319&lt;5,"low")</f>
        <v>high</v>
      </c>
      <c r="T319" s="5" t="str">
        <f t="shared" si="23"/>
        <v>high</v>
      </c>
      <c r="U319" s="1">
        <f t="shared" si="24"/>
        <v>1715.21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1577.5319999999999</v>
      </c>
      <c r="Q320" s="1">
        <f t="shared" si="21"/>
        <v>8939.348</v>
      </c>
      <c r="R320" s="1" t="str">
        <f t="shared" si="22"/>
        <v>high</v>
      </c>
      <c r="S320" s="1" t="str" cm="1">
        <f t="array" ref="S320">_xlfn.IFS(L320&gt;5,"high",L320=5,"medium",L320&lt;5,"low")</f>
        <v>high</v>
      </c>
      <c r="T320" s="5" t="str">
        <f t="shared" si="23"/>
        <v>high</v>
      </c>
      <c r="U320" s="1">
        <f t="shared" si="24"/>
        <v>12372.8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0</v>
      </c>
      <c r="Q321" s="1">
        <f t="shared" si="21"/>
        <v>18038.240000000002</v>
      </c>
      <c r="R321" s="1" t="str">
        <f t="shared" si="22"/>
        <v>high</v>
      </c>
      <c r="S321" s="1" t="str" cm="1">
        <f t="array" ref="S321">_xlfn.IFS(L321&gt;5,"high",L321=5,"medium",L321&lt;5,"low")</f>
        <v>high</v>
      </c>
      <c r="T321" s="5" t="str">
        <f t="shared" si="23"/>
        <v>high</v>
      </c>
      <c r="U321" s="1">
        <f t="shared" si="24"/>
        <v>18038.240000000002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3789.3080000000004</v>
      </c>
      <c r="Q322" s="1">
        <f t="shared" si="21"/>
        <v>15157.232</v>
      </c>
      <c r="R322" s="1" t="str">
        <f t="shared" si="22"/>
        <v>high</v>
      </c>
      <c r="S322" s="1" t="str" cm="1">
        <f t="array" ref="S322">_xlfn.IFS(L322&gt;5,"high",L322=5,"medium",L322&lt;5,"low")</f>
        <v>high</v>
      </c>
      <c r="T322" s="5" t="str">
        <f t="shared" si="23"/>
        <v>high</v>
      </c>
      <c r="U322" s="1">
        <f t="shared" si="24"/>
        <v>23683.17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O323*N323%</f>
        <v>0</v>
      </c>
      <c r="Q323" s="1">
        <f t="shared" ref="Q323:Q386" si="26">O323-P323</f>
        <v>3204.1</v>
      </c>
      <c r="R323" s="1" t="str">
        <f t="shared" ref="R323:R386" si="27">IF(L323&gt;=5,"high","low")</f>
        <v>high</v>
      </c>
      <c r="S323" s="1" t="str" cm="1">
        <f t="array" ref="S323">_xlfn.IFS(L323&gt;5,"high",L323=5,"medium",L323&lt;5,"low")</f>
        <v>medium</v>
      </c>
      <c r="T323" s="5" t="str">
        <f t="shared" ref="T323:T386" si="28">IF(L323&gt;5,"high",IF(L323=5,"medium","low"))</f>
        <v>medium</v>
      </c>
      <c r="U323" s="1">
        <f t="shared" ref="U323:U386" si="29">L323*M323</f>
        <v>3204.1000000000004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153.46250000000001</v>
      </c>
      <c r="Q324" s="1">
        <f t="shared" si="26"/>
        <v>2915.7874999999999</v>
      </c>
      <c r="R324" s="1" t="str">
        <f t="shared" si="27"/>
        <v>low</v>
      </c>
      <c r="S324" s="1" t="str" cm="1">
        <f t="array" ref="S324">_xlfn.IFS(L324&gt;5,"high",L324=5,"medium",L324&lt;5,"low")</f>
        <v>low</v>
      </c>
      <c r="T324" s="5" t="str">
        <f t="shared" si="28"/>
        <v>low</v>
      </c>
      <c r="U324" s="1">
        <f t="shared" si="29"/>
        <v>3230.79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3984.7860000000001</v>
      </c>
      <c r="Q325" s="1">
        <f t="shared" si="26"/>
        <v>22580.454000000002</v>
      </c>
      <c r="R325" s="1" t="str">
        <f t="shared" si="27"/>
        <v>high</v>
      </c>
      <c r="S325" s="1" t="str" cm="1">
        <f t="array" ref="S325">_xlfn.IFS(L325&gt;5,"high",L325=5,"medium",L325&lt;5,"low")</f>
        <v>high</v>
      </c>
      <c r="T325" s="5" t="str">
        <f t="shared" si="28"/>
        <v>high</v>
      </c>
      <c r="U325" s="1">
        <f t="shared" si="29"/>
        <v>31253.22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0</v>
      </c>
      <c r="Q326" s="1">
        <f t="shared" si="26"/>
        <v>5111.05</v>
      </c>
      <c r="R326" s="1" t="str">
        <f t="shared" si="27"/>
        <v>high</v>
      </c>
      <c r="S326" s="1" t="str" cm="1">
        <f t="array" ref="S326">_xlfn.IFS(L326&gt;5,"high",L326=5,"medium",L326&lt;5,"low")</f>
        <v>high</v>
      </c>
      <c r="T326" s="5" t="str">
        <f t="shared" si="28"/>
        <v>high</v>
      </c>
      <c r="U326" s="1">
        <f t="shared" si="29"/>
        <v>5111.05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617.15500000000009</v>
      </c>
      <c r="Q327" s="1">
        <f t="shared" si="26"/>
        <v>5554.3950000000004</v>
      </c>
      <c r="R327" s="1" t="str">
        <f t="shared" si="27"/>
        <v>low</v>
      </c>
      <c r="S327" s="1" t="str" cm="1">
        <f t="array" ref="S327">_xlfn.IFS(L327&gt;5,"high",L327=5,"medium",L327&lt;5,"low")</f>
        <v>low</v>
      </c>
      <c r="T327" s="5" t="str">
        <f t="shared" si="28"/>
        <v>low</v>
      </c>
      <c r="U327" s="1">
        <f t="shared" si="29"/>
        <v>6857.28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0</v>
      </c>
      <c r="Q328" s="1">
        <f t="shared" si="26"/>
        <v>23802.6</v>
      </c>
      <c r="R328" s="1" t="str">
        <f t="shared" si="27"/>
        <v>high</v>
      </c>
      <c r="S328" s="1" t="str" cm="1">
        <f t="array" ref="S328">_xlfn.IFS(L328&gt;5,"high",L328=5,"medium",L328&lt;5,"low")</f>
        <v>high</v>
      </c>
      <c r="T328" s="5" t="str">
        <f t="shared" si="28"/>
        <v>high</v>
      </c>
      <c r="U328" s="1">
        <f t="shared" si="29"/>
        <v>23802.6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751.82399999999996</v>
      </c>
      <c r="Q329" s="1">
        <f t="shared" si="26"/>
        <v>4260.3360000000002</v>
      </c>
      <c r="R329" s="1" t="str">
        <f t="shared" si="27"/>
        <v>low</v>
      </c>
      <c r="S329" s="1" t="str" cm="1">
        <f t="array" ref="S329">_xlfn.IFS(L329&gt;5,"high",L329=5,"medium",L329&lt;5,"low")</f>
        <v>low</v>
      </c>
      <c r="T329" s="5" t="str">
        <f t="shared" si="28"/>
        <v>low</v>
      </c>
      <c r="U329" s="1">
        <f t="shared" si="29"/>
        <v>5896.66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507.41800000000006</v>
      </c>
      <c r="Q330" s="1">
        <f t="shared" si="26"/>
        <v>2029.672</v>
      </c>
      <c r="R330" s="1" t="str">
        <f t="shared" si="27"/>
        <v>low</v>
      </c>
      <c r="S330" s="1" t="str" cm="1">
        <f t="array" ref="S330">_xlfn.IFS(L330&gt;5,"high",L330=5,"medium",L330&lt;5,"low")</f>
        <v>low</v>
      </c>
      <c r="T330" s="5" t="str">
        <f t="shared" si="28"/>
        <v>low</v>
      </c>
      <c r="U330" s="1">
        <f t="shared" si="29"/>
        <v>3171.36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4455.92</v>
      </c>
      <c r="Q331" s="1">
        <f t="shared" si="26"/>
        <v>17823.68</v>
      </c>
      <c r="R331" s="1" t="str">
        <f t="shared" si="27"/>
        <v>high</v>
      </c>
      <c r="S331" s="1" t="str" cm="1">
        <f t="array" ref="S331">_xlfn.IFS(L331&gt;5,"high",L331=5,"medium",L331&lt;5,"low")</f>
        <v>high</v>
      </c>
      <c r="T331" s="5" t="str">
        <f t="shared" si="28"/>
        <v>high</v>
      </c>
      <c r="U331" s="1">
        <f t="shared" si="29"/>
        <v>27849.5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632.68049999999994</v>
      </c>
      <c r="Q332" s="1">
        <f t="shared" si="26"/>
        <v>3585.1895</v>
      </c>
      <c r="R332" s="1" t="str">
        <f t="shared" si="27"/>
        <v>low</v>
      </c>
      <c r="S332" s="1" t="str" cm="1">
        <f t="array" ref="S332">_xlfn.IFS(L332&gt;5,"high",L332=5,"medium",L332&lt;5,"low")</f>
        <v>low</v>
      </c>
      <c r="T332" s="5" t="str">
        <f t="shared" si="28"/>
        <v>low</v>
      </c>
      <c r="U332" s="1">
        <f t="shared" si="29"/>
        <v>4962.2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126.85899999999999</v>
      </c>
      <c r="Q333" s="1">
        <f t="shared" si="26"/>
        <v>2410.3209999999999</v>
      </c>
      <c r="R333" s="1" t="str">
        <f t="shared" si="27"/>
        <v>low</v>
      </c>
      <c r="S333" s="1" t="str" cm="1">
        <f t="array" ref="S333">_xlfn.IFS(L333&gt;5,"high",L333=5,"medium",L333&lt;5,"low")</f>
        <v>low</v>
      </c>
      <c r="T333" s="5" t="str">
        <f t="shared" si="28"/>
        <v>low</v>
      </c>
      <c r="U333" s="1">
        <f t="shared" si="29"/>
        <v>2670.72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801.44150000000002</v>
      </c>
      <c r="Q334" s="1">
        <f t="shared" si="26"/>
        <v>15227.388499999999</v>
      </c>
      <c r="R334" s="1" t="str">
        <f t="shared" si="27"/>
        <v>high</v>
      </c>
      <c r="S334" s="1" t="str" cm="1">
        <f t="array" ref="S334">_xlfn.IFS(L334&gt;5,"high",L334=5,"medium",L334&lt;5,"low")</f>
        <v>medium</v>
      </c>
      <c r="T334" s="5" t="str">
        <f t="shared" si="28"/>
        <v>medium</v>
      </c>
      <c r="U334" s="1">
        <f t="shared" si="29"/>
        <v>16872.449999999997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2012.616</v>
      </c>
      <c r="Q335" s="1">
        <f t="shared" si="26"/>
        <v>8050.4639999999999</v>
      </c>
      <c r="R335" s="1" t="str">
        <f t="shared" si="27"/>
        <v>high</v>
      </c>
      <c r="S335" s="1" t="str" cm="1">
        <f t="array" ref="S335">_xlfn.IFS(L335&gt;5,"high",L335=5,"medium",L335&lt;5,"low")</f>
        <v>medium</v>
      </c>
      <c r="T335" s="5" t="str">
        <f t="shared" si="28"/>
        <v>medium</v>
      </c>
      <c r="U335" s="1">
        <f t="shared" si="29"/>
        <v>12578.85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2674.1120000000001</v>
      </c>
      <c r="Q336" s="1">
        <f t="shared" si="26"/>
        <v>10696.448</v>
      </c>
      <c r="R336" s="1" t="str">
        <f t="shared" si="27"/>
        <v>high</v>
      </c>
      <c r="S336" s="1" t="str" cm="1">
        <f t="array" ref="S336">_xlfn.IFS(L336&gt;5,"high",L336=5,"medium",L336&lt;5,"low")</f>
        <v>high</v>
      </c>
      <c r="T336" s="5" t="str">
        <f t="shared" si="28"/>
        <v>high</v>
      </c>
      <c r="U336" s="1">
        <f t="shared" si="29"/>
        <v>16713.2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143.62799999999999</v>
      </c>
      <c r="Q337" s="1">
        <f t="shared" si="26"/>
        <v>813.89200000000005</v>
      </c>
      <c r="R337" s="1" t="str">
        <f t="shared" si="27"/>
        <v>low</v>
      </c>
      <c r="S337" s="1" t="str" cm="1">
        <f t="array" ref="S337">_xlfn.IFS(L337&gt;5,"high",L337=5,"medium",L337&lt;5,"low")</f>
        <v>low</v>
      </c>
      <c r="T337" s="5" t="str">
        <f t="shared" si="28"/>
        <v>low</v>
      </c>
      <c r="U337" s="1">
        <f t="shared" si="29"/>
        <v>1126.5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1163.518</v>
      </c>
      <c r="Q338" s="1">
        <f t="shared" si="26"/>
        <v>22106.842000000001</v>
      </c>
      <c r="R338" s="1" t="str">
        <f t="shared" si="27"/>
        <v>high</v>
      </c>
      <c r="S338" s="1" t="str" cm="1">
        <f t="array" ref="S338">_xlfn.IFS(L338&gt;5,"high",L338=5,"medium",L338&lt;5,"low")</f>
        <v>high</v>
      </c>
      <c r="T338" s="5" t="str">
        <f t="shared" si="28"/>
        <v>high</v>
      </c>
      <c r="U338" s="1">
        <f t="shared" si="29"/>
        <v>24495.119999999999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222.922</v>
      </c>
      <c r="Q339" s="1">
        <f t="shared" si="26"/>
        <v>891.68799999999987</v>
      </c>
      <c r="R339" s="1" t="str">
        <f t="shared" si="27"/>
        <v>low</v>
      </c>
      <c r="S339" s="1" t="str" cm="1">
        <f t="array" ref="S339">_xlfn.IFS(L339&gt;5,"high",L339=5,"medium",L339&lt;5,"low")</f>
        <v>low</v>
      </c>
      <c r="T339" s="5" t="str">
        <f t="shared" si="28"/>
        <v>low</v>
      </c>
      <c r="U339" s="1">
        <f t="shared" si="29"/>
        <v>1393.26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704.61700000000008</v>
      </c>
      <c r="Q340" s="1">
        <f t="shared" si="26"/>
        <v>13387.723</v>
      </c>
      <c r="R340" s="1" t="str">
        <f t="shared" si="27"/>
        <v>low</v>
      </c>
      <c r="S340" s="1" t="str" cm="1">
        <f t="array" ref="S340">_xlfn.IFS(L340&gt;5,"high",L340=5,"medium",L340&lt;5,"low")</f>
        <v>low</v>
      </c>
      <c r="T340" s="5" t="str">
        <f t="shared" si="28"/>
        <v>low</v>
      </c>
      <c r="U340" s="1">
        <f t="shared" si="29"/>
        <v>14834.04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2022.364</v>
      </c>
      <c r="Q341" s="1">
        <f t="shared" si="26"/>
        <v>8089.4560000000001</v>
      </c>
      <c r="R341" s="1" t="str">
        <f t="shared" si="27"/>
        <v>high</v>
      </c>
      <c r="S341" s="1" t="str" cm="1">
        <f t="array" ref="S341">_xlfn.IFS(L341&gt;5,"high",L341=5,"medium",L341&lt;5,"low")</f>
        <v>high</v>
      </c>
      <c r="T341" s="5" t="str">
        <f t="shared" si="28"/>
        <v>high</v>
      </c>
      <c r="U341" s="1">
        <f t="shared" si="29"/>
        <v>12639.78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0</v>
      </c>
      <c r="Q342" s="1">
        <f t="shared" si="26"/>
        <v>2567.7199999999998</v>
      </c>
      <c r="R342" s="1" t="str">
        <f t="shared" si="27"/>
        <v>low</v>
      </c>
      <c r="S342" s="1" t="str" cm="1">
        <f t="array" ref="S342">_xlfn.IFS(L342&gt;5,"high",L342=5,"medium",L342&lt;5,"low")</f>
        <v>low</v>
      </c>
      <c r="T342" s="5" t="str">
        <f t="shared" si="28"/>
        <v>low</v>
      </c>
      <c r="U342" s="1">
        <f t="shared" si="29"/>
        <v>2567.7199999999998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833.899</v>
      </c>
      <c r="Q343" s="1">
        <f t="shared" si="26"/>
        <v>7505.0909999999994</v>
      </c>
      <c r="R343" s="1" t="str">
        <f t="shared" si="27"/>
        <v>high</v>
      </c>
      <c r="S343" s="1" t="str" cm="1">
        <f t="array" ref="S343">_xlfn.IFS(L343&gt;5,"high",L343=5,"medium",L343&lt;5,"low")</f>
        <v>medium</v>
      </c>
      <c r="T343" s="5" t="str">
        <f t="shared" si="28"/>
        <v>medium</v>
      </c>
      <c r="U343" s="1">
        <f t="shared" si="29"/>
        <v>9265.5499999999993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0</v>
      </c>
      <c r="Q344" s="1">
        <f t="shared" si="26"/>
        <v>2194.5700000000002</v>
      </c>
      <c r="R344" s="1" t="str">
        <f t="shared" si="27"/>
        <v>high</v>
      </c>
      <c r="S344" s="1" t="str" cm="1">
        <f t="array" ref="S344">_xlfn.IFS(L344&gt;5,"high",L344=5,"medium",L344&lt;5,"low")</f>
        <v>high</v>
      </c>
      <c r="T344" s="5" t="str">
        <f t="shared" si="28"/>
        <v>high</v>
      </c>
      <c r="U344" s="1">
        <f t="shared" si="29"/>
        <v>2194.5699999999997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1782.9180000000001</v>
      </c>
      <c r="Q345" s="1">
        <f t="shared" si="26"/>
        <v>7131.6720000000005</v>
      </c>
      <c r="R345" s="1" t="str">
        <f t="shared" si="27"/>
        <v>low</v>
      </c>
      <c r="S345" s="1" t="str" cm="1">
        <f t="array" ref="S345">_xlfn.IFS(L345&gt;5,"high",L345=5,"medium",L345&lt;5,"low")</f>
        <v>low</v>
      </c>
      <c r="T345" s="5" t="str">
        <f t="shared" si="28"/>
        <v>low</v>
      </c>
      <c r="U345" s="1">
        <f t="shared" si="29"/>
        <v>11143.24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326.28800000000001</v>
      </c>
      <c r="Q346" s="1">
        <f t="shared" si="26"/>
        <v>2936.5920000000001</v>
      </c>
      <c r="R346" s="1" t="str">
        <f t="shared" si="27"/>
        <v>low</v>
      </c>
      <c r="S346" s="1" t="str" cm="1">
        <f t="array" ref="S346">_xlfn.IFS(L346&gt;5,"high",L346=5,"medium",L346&lt;5,"low")</f>
        <v>low</v>
      </c>
      <c r="T346" s="5" t="str">
        <f t="shared" si="28"/>
        <v>low</v>
      </c>
      <c r="U346" s="1">
        <f t="shared" si="29"/>
        <v>3625.42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2732.5030000000002</v>
      </c>
      <c r="Q347" s="1">
        <f t="shared" si="26"/>
        <v>24592.526999999998</v>
      </c>
      <c r="R347" s="1" t="str">
        <f t="shared" si="27"/>
        <v>high</v>
      </c>
      <c r="S347" s="1" t="str" cm="1">
        <f t="array" ref="S347">_xlfn.IFS(L347&gt;5,"high",L347=5,"medium",L347&lt;5,"low")</f>
        <v>high</v>
      </c>
      <c r="T347" s="5" t="str">
        <f t="shared" si="28"/>
        <v>high</v>
      </c>
      <c r="U347" s="1">
        <f t="shared" si="29"/>
        <v>30361.14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409.83600000000001</v>
      </c>
      <c r="Q348" s="1">
        <f t="shared" si="26"/>
        <v>1639.3439999999998</v>
      </c>
      <c r="R348" s="1" t="str">
        <f t="shared" si="27"/>
        <v>low</v>
      </c>
      <c r="S348" s="1" t="str" cm="1">
        <f t="array" ref="S348">_xlfn.IFS(L348&gt;5,"high",L348=5,"medium",L348&lt;5,"low")</f>
        <v>low</v>
      </c>
      <c r="T348" s="5" t="str">
        <f t="shared" si="28"/>
        <v>low</v>
      </c>
      <c r="U348" s="1">
        <f t="shared" si="29"/>
        <v>2561.48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916.04200000000003</v>
      </c>
      <c r="Q349" s="1">
        <f t="shared" si="26"/>
        <v>3664.1680000000001</v>
      </c>
      <c r="R349" s="1" t="str">
        <f t="shared" si="27"/>
        <v>high</v>
      </c>
      <c r="S349" s="1" t="str" cm="1">
        <f t="array" ref="S349">_xlfn.IFS(L349&gt;5,"high",L349=5,"medium",L349&lt;5,"low")</f>
        <v>high</v>
      </c>
      <c r="T349" s="5" t="str">
        <f t="shared" si="28"/>
        <v>high</v>
      </c>
      <c r="U349" s="1">
        <f t="shared" si="29"/>
        <v>5725.26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935.29</v>
      </c>
      <c r="Q350" s="1">
        <f t="shared" si="26"/>
        <v>17770.509999999998</v>
      </c>
      <c r="R350" s="1" t="str">
        <f t="shared" si="27"/>
        <v>high</v>
      </c>
      <c r="S350" s="1" t="str" cm="1">
        <f t="array" ref="S350">_xlfn.IFS(L350&gt;5,"high",L350=5,"medium",L350&lt;5,"low")</f>
        <v>high</v>
      </c>
      <c r="T350" s="5" t="str">
        <f t="shared" si="28"/>
        <v>high</v>
      </c>
      <c r="U350" s="1">
        <f t="shared" si="29"/>
        <v>19690.32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593.34</v>
      </c>
      <c r="Q351" s="1">
        <f t="shared" si="26"/>
        <v>2373.3599999999997</v>
      </c>
      <c r="R351" s="1" t="str">
        <f t="shared" si="27"/>
        <v>low</v>
      </c>
      <c r="S351" s="1" t="str" cm="1">
        <f t="array" ref="S351">_xlfn.IFS(L351&gt;5,"high",L351=5,"medium",L351&lt;5,"low")</f>
        <v>low</v>
      </c>
      <c r="T351" s="5" t="str">
        <f t="shared" si="28"/>
        <v>low</v>
      </c>
      <c r="U351" s="1">
        <f t="shared" si="29"/>
        <v>3708.38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735.76949999999999</v>
      </c>
      <c r="Q352" s="1">
        <f t="shared" si="26"/>
        <v>4169.3604999999998</v>
      </c>
      <c r="R352" s="1" t="str">
        <f t="shared" si="27"/>
        <v>low</v>
      </c>
      <c r="S352" s="1" t="str" cm="1">
        <f t="array" ref="S352">_xlfn.IFS(L352&gt;5,"high",L352=5,"medium",L352&lt;5,"low")</f>
        <v>low</v>
      </c>
      <c r="T352" s="5" t="str">
        <f t="shared" si="28"/>
        <v>low</v>
      </c>
      <c r="U352" s="1">
        <f t="shared" si="29"/>
        <v>5770.74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662.73199999999997</v>
      </c>
      <c r="Q353" s="1">
        <f t="shared" si="26"/>
        <v>2650.9279999999999</v>
      </c>
      <c r="R353" s="1" t="str">
        <f t="shared" si="27"/>
        <v>low</v>
      </c>
      <c r="S353" s="1" t="str" cm="1">
        <f t="array" ref="S353">_xlfn.IFS(L353&gt;5,"high",L353=5,"medium",L353&lt;5,"low")</f>
        <v>low</v>
      </c>
      <c r="T353" s="5" t="str">
        <f t="shared" si="28"/>
        <v>low</v>
      </c>
      <c r="U353" s="1">
        <f t="shared" si="29"/>
        <v>4142.08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1578.1680000000001</v>
      </c>
      <c r="Q354" s="1">
        <f t="shared" si="26"/>
        <v>8942.9520000000011</v>
      </c>
      <c r="R354" s="1" t="str">
        <f t="shared" si="27"/>
        <v>high</v>
      </c>
      <c r="S354" s="1" t="str" cm="1">
        <f t="array" ref="S354">_xlfn.IFS(L354&gt;5,"high",L354=5,"medium",L354&lt;5,"low")</f>
        <v>high</v>
      </c>
      <c r="T354" s="5" t="str">
        <f t="shared" si="28"/>
        <v>high</v>
      </c>
      <c r="U354" s="1">
        <f t="shared" si="29"/>
        <v>12377.789999999999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574.86800000000005</v>
      </c>
      <c r="Q355" s="1">
        <f t="shared" si="26"/>
        <v>2299.4720000000002</v>
      </c>
      <c r="R355" s="1" t="str">
        <f t="shared" si="27"/>
        <v>low</v>
      </c>
      <c r="S355" s="1" t="str" cm="1">
        <f t="array" ref="S355">_xlfn.IFS(L355&gt;5,"high",L355=5,"medium",L355&lt;5,"low")</f>
        <v>low</v>
      </c>
      <c r="T355" s="5" t="str">
        <f t="shared" si="28"/>
        <v>low</v>
      </c>
      <c r="U355" s="1">
        <f t="shared" si="29"/>
        <v>3592.92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1125.556</v>
      </c>
      <c r="Q356" s="1">
        <f t="shared" si="26"/>
        <v>21385.563999999998</v>
      </c>
      <c r="R356" s="1" t="str">
        <f t="shared" si="27"/>
        <v>high</v>
      </c>
      <c r="S356" s="1" t="str" cm="1">
        <f t="array" ref="S356">_xlfn.IFS(L356&gt;5,"high",L356=5,"medium",L356&lt;5,"low")</f>
        <v>high</v>
      </c>
      <c r="T356" s="5" t="str">
        <f t="shared" si="28"/>
        <v>high</v>
      </c>
      <c r="U356" s="1">
        <f t="shared" si="29"/>
        <v>23695.920000000002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1445.586</v>
      </c>
      <c r="Q357" s="1">
        <f t="shared" si="26"/>
        <v>8191.6539999999995</v>
      </c>
      <c r="R357" s="1" t="str">
        <f t="shared" si="27"/>
        <v>high</v>
      </c>
      <c r="S357" s="1" t="str" cm="1">
        <f t="array" ref="S357">_xlfn.IFS(L357&gt;5,"high",L357=5,"medium",L357&lt;5,"low")</f>
        <v>high</v>
      </c>
      <c r="T357" s="5" t="str">
        <f t="shared" si="28"/>
        <v>high</v>
      </c>
      <c r="U357" s="1">
        <f t="shared" si="29"/>
        <v>11337.93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0</v>
      </c>
      <c r="Q358" s="1">
        <f t="shared" si="26"/>
        <v>10402.48</v>
      </c>
      <c r="R358" s="1" t="str">
        <f t="shared" si="27"/>
        <v>high</v>
      </c>
      <c r="S358" s="1" t="str" cm="1">
        <f t="array" ref="S358">_xlfn.IFS(L358&gt;5,"high",L358=5,"medium",L358&lt;5,"low")</f>
        <v>high</v>
      </c>
      <c r="T358" s="5" t="str">
        <f t="shared" si="28"/>
        <v>high</v>
      </c>
      <c r="U358" s="1">
        <f t="shared" si="29"/>
        <v>10402.48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3652.7429999999999</v>
      </c>
      <c r="Q359" s="1">
        <f t="shared" si="26"/>
        <v>20698.877</v>
      </c>
      <c r="R359" s="1" t="str">
        <f t="shared" si="27"/>
        <v>high</v>
      </c>
      <c r="S359" s="1" t="str" cm="1">
        <f t="array" ref="S359">_xlfn.IFS(L359&gt;5,"high",L359=5,"medium",L359&lt;5,"low")</f>
        <v>high</v>
      </c>
      <c r="T359" s="5" t="str">
        <f t="shared" si="28"/>
        <v>high</v>
      </c>
      <c r="U359" s="1">
        <f t="shared" si="29"/>
        <v>28648.959999999999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9.6185000000000009</v>
      </c>
      <c r="Q360" s="1">
        <f t="shared" si="26"/>
        <v>182.75149999999999</v>
      </c>
      <c r="R360" s="1" t="str">
        <f t="shared" si="27"/>
        <v>low</v>
      </c>
      <c r="S360" s="1" t="str" cm="1">
        <f t="array" ref="S360">_xlfn.IFS(L360&gt;5,"high",L360=5,"medium",L360&lt;5,"low")</f>
        <v>low</v>
      </c>
      <c r="T360" s="5" t="str">
        <f t="shared" si="28"/>
        <v>low</v>
      </c>
      <c r="U360" s="1">
        <f t="shared" si="29"/>
        <v>202.49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1420.35</v>
      </c>
      <c r="Q361" s="1">
        <f t="shared" si="26"/>
        <v>8048.65</v>
      </c>
      <c r="R361" s="1" t="str">
        <f t="shared" si="27"/>
        <v>high</v>
      </c>
      <c r="S361" s="1" t="str" cm="1">
        <f t="array" ref="S361">_xlfn.IFS(L361&gt;5,"high",L361=5,"medium",L361&lt;5,"low")</f>
        <v>high</v>
      </c>
      <c r="T361" s="5" t="str">
        <f t="shared" si="28"/>
        <v>high</v>
      </c>
      <c r="U361" s="1">
        <f t="shared" si="29"/>
        <v>11140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1096.45</v>
      </c>
      <c r="Q362" s="1">
        <f t="shared" si="26"/>
        <v>4385.8</v>
      </c>
      <c r="R362" s="1" t="str">
        <f t="shared" si="27"/>
        <v>low</v>
      </c>
      <c r="S362" s="1" t="str" cm="1">
        <f t="array" ref="S362">_xlfn.IFS(L362&gt;5,"high",L362=5,"medium",L362&lt;5,"low")</f>
        <v>low</v>
      </c>
      <c r="T362" s="5" t="str">
        <f t="shared" si="28"/>
        <v>low</v>
      </c>
      <c r="U362" s="1">
        <f t="shared" si="29"/>
        <v>6852.8099999999995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807.11599999999999</v>
      </c>
      <c r="Q363" s="1">
        <f t="shared" si="26"/>
        <v>3228.4639999999999</v>
      </c>
      <c r="R363" s="1" t="str">
        <f t="shared" si="27"/>
        <v>high</v>
      </c>
      <c r="S363" s="1" t="str" cm="1">
        <f t="array" ref="S363">_xlfn.IFS(L363&gt;5,"high",L363=5,"medium",L363&lt;5,"low")</f>
        <v>high</v>
      </c>
      <c r="T363" s="5" t="str">
        <f t="shared" si="28"/>
        <v>high</v>
      </c>
      <c r="U363" s="1">
        <f t="shared" si="29"/>
        <v>5044.4799999999996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23.967500000000001</v>
      </c>
      <c r="Q364" s="1">
        <f t="shared" si="26"/>
        <v>455.38250000000005</v>
      </c>
      <c r="R364" s="1" t="str">
        <f t="shared" si="27"/>
        <v>low</v>
      </c>
      <c r="S364" s="1" t="str" cm="1">
        <f t="array" ref="S364">_xlfn.IFS(L364&gt;5,"high",L364=5,"medium",L364&lt;5,"low")</f>
        <v>low</v>
      </c>
      <c r="T364" s="5" t="str">
        <f t="shared" si="28"/>
        <v>low</v>
      </c>
      <c r="U364" s="1">
        <f t="shared" si="29"/>
        <v>504.58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295.99299999999999</v>
      </c>
      <c r="Q365" s="1">
        <f t="shared" si="26"/>
        <v>2663.9369999999999</v>
      </c>
      <c r="R365" s="1" t="str">
        <f t="shared" si="27"/>
        <v>low</v>
      </c>
      <c r="S365" s="1" t="str" cm="1">
        <f t="array" ref="S365">_xlfn.IFS(L365&gt;5,"high",L365=5,"medium",L365&lt;5,"low")</f>
        <v>low</v>
      </c>
      <c r="T365" s="5" t="str">
        <f t="shared" si="28"/>
        <v>low</v>
      </c>
      <c r="U365" s="1">
        <f t="shared" si="29"/>
        <v>3288.81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2874.768</v>
      </c>
      <c r="Q366" s="1">
        <f t="shared" si="26"/>
        <v>11499.072</v>
      </c>
      <c r="R366" s="1" t="str">
        <f t="shared" si="27"/>
        <v>high</v>
      </c>
      <c r="S366" s="1" t="str" cm="1">
        <f t="array" ref="S366">_xlfn.IFS(L366&gt;5,"high",L366=5,"medium",L366&lt;5,"low")</f>
        <v>medium</v>
      </c>
      <c r="T366" s="5" t="str">
        <f t="shared" si="28"/>
        <v>medium</v>
      </c>
      <c r="U366" s="1">
        <f t="shared" si="29"/>
        <v>17967.3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0</v>
      </c>
      <c r="Q367" s="1">
        <f t="shared" si="26"/>
        <v>16604.400000000001</v>
      </c>
      <c r="R367" s="1" t="str">
        <f t="shared" si="27"/>
        <v>high</v>
      </c>
      <c r="S367" s="1" t="str" cm="1">
        <f t="array" ref="S367">_xlfn.IFS(L367&gt;5,"high",L367=5,"medium",L367&lt;5,"low")</f>
        <v>medium</v>
      </c>
      <c r="T367" s="5" t="str">
        <f t="shared" si="28"/>
        <v>medium</v>
      </c>
      <c r="U367" s="1">
        <f t="shared" si="29"/>
        <v>16604.400000000001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1371.9255000000001</v>
      </c>
      <c r="Q368" s="1">
        <f t="shared" si="26"/>
        <v>26066.584499999997</v>
      </c>
      <c r="R368" s="1" t="str">
        <f t="shared" si="27"/>
        <v>high</v>
      </c>
      <c r="S368" s="1" t="str" cm="1">
        <f t="array" ref="S368">_xlfn.IFS(L368&gt;5,"high",L368=5,"medium",L368&lt;5,"low")</f>
        <v>high</v>
      </c>
      <c r="T368" s="5" t="str">
        <f t="shared" si="28"/>
        <v>high</v>
      </c>
      <c r="U368" s="1">
        <f t="shared" si="29"/>
        <v>28882.639999999999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2034.4364999999998</v>
      </c>
      <c r="Q369" s="1">
        <f t="shared" si="26"/>
        <v>11528.4735</v>
      </c>
      <c r="R369" s="1" t="str">
        <f t="shared" si="27"/>
        <v>high</v>
      </c>
      <c r="S369" s="1" t="str" cm="1">
        <f t="array" ref="S369">_xlfn.IFS(L369&gt;5,"high",L369=5,"medium",L369&lt;5,"low")</f>
        <v>high</v>
      </c>
      <c r="T369" s="5" t="str">
        <f t="shared" si="28"/>
        <v>high</v>
      </c>
      <c r="U369" s="1">
        <f t="shared" si="29"/>
        <v>15956.36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3342.7334999999998</v>
      </c>
      <c r="Q370" s="1">
        <f t="shared" si="26"/>
        <v>18942.156500000001</v>
      </c>
      <c r="R370" s="1" t="str">
        <f t="shared" si="27"/>
        <v>high</v>
      </c>
      <c r="S370" s="1" t="str" cm="1">
        <f t="array" ref="S370">_xlfn.IFS(L370&gt;5,"high",L370=5,"medium",L370&lt;5,"low")</f>
        <v>high</v>
      </c>
      <c r="T370" s="5" t="str">
        <f t="shared" si="28"/>
        <v>high</v>
      </c>
      <c r="U370" s="1">
        <f t="shared" si="29"/>
        <v>26217.52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0</v>
      </c>
      <c r="Q371" s="1">
        <f t="shared" si="26"/>
        <v>9771.36</v>
      </c>
      <c r="R371" s="1" t="str">
        <f t="shared" si="27"/>
        <v>high</v>
      </c>
      <c r="S371" s="1" t="str" cm="1">
        <f t="array" ref="S371">_xlfn.IFS(L371&gt;5,"high",L371=5,"medium",L371&lt;5,"low")</f>
        <v>high</v>
      </c>
      <c r="T371" s="5" t="str">
        <f t="shared" si="28"/>
        <v>high</v>
      </c>
      <c r="U371" s="1">
        <f t="shared" si="29"/>
        <v>9771.36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2606.5240000000003</v>
      </c>
      <c r="Q372" s="1">
        <f t="shared" si="26"/>
        <v>10426.096000000001</v>
      </c>
      <c r="R372" s="1" t="str">
        <f t="shared" si="27"/>
        <v>high</v>
      </c>
      <c r="S372" s="1" t="str" cm="1">
        <f t="array" ref="S372">_xlfn.IFS(L372&gt;5,"high",L372=5,"medium",L372&lt;5,"low")</f>
        <v>high</v>
      </c>
      <c r="T372" s="5" t="str">
        <f t="shared" si="28"/>
        <v>high</v>
      </c>
      <c r="U372" s="1">
        <f t="shared" si="29"/>
        <v>16290.78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375.91700000000003</v>
      </c>
      <c r="Q373" s="1">
        <f t="shared" si="26"/>
        <v>7142.4229999999998</v>
      </c>
      <c r="R373" s="1" t="str">
        <f t="shared" si="27"/>
        <v>low</v>
      </c>
      <c r="S373" s="1" t="str" cm="1">
        <f t="array" ref="S373">_xlfn.IFS(L373&gt;5,"high",L373=5,"medium",L373&lt;5,"low")</f>
        <v>low</v>
      </c>
      <c r="T373" s="5" t="str">
        <f t="shared" si="28"/>
        <v>low</v>
      </c>
      <c r="U373" s="1">
        <f t="shared" si="29"/>
        <v>7914.04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0</v>
      </c>
      <c r="Q374" s="1">
        <f t="shared" si="26"/>
        <v>6114.3</v>
      </c>
      <c r="R374" s="1" t="str">
        <f t="shared" si="27"/>
        <v>high</v>
      </c>
      <c r="S374" s="1" t="str" cm="1">
        <f t="array" ref="S374">_xlfn.IFS(L374&gt;5,"high",L374=5,"medium",L374&lt;5,"low")</f>
        <v>high</v>
      </c>
      <c r="T374" s="5" t="str">
        <f t="shared" si="28"/>
        <v>high</v>
      </c>
      <c r="U374" s="1">
        <f t="shared" si="29"/>
        <v>6114.2999999999993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1320.8879999999999</v>
      </c>
      <c r="Q375" s="1">
        <f t="shared" si="26"/>
        <v>5283.5519999999997</v>
      </c>
      <c r="R375" s="1" t="str">
        <f t="shared" si="27"/>
        <v>high</v>
      </c>
      <c r="S375" s="1" t="str" cm="1">
        <f t="array" ref="S375">_xlfn.IFS(L375&gt;5,"high",L375=5,"medium",L375&lt;5,"low")</f>
        <v>medium</v>
      </c>
      <c r="T375" s="5" t="str">
        <f t="shared" si="28"/>
        <v>medium</v>
      </c>
      <c r="U375" s="1">
        <f t="shared" si="29"/>
        <v>8255.5499999999993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284.74050000000005</v>
      </c>
      <c r="Q376" s="1">
        <f t="shared" si="26"/>
        <v>5410.0695000000005</v>
      </c>
      <c r="R376" s="1" t="str">
        <f t="shared" si="27"/>
        <v>low</v>
      </c>
      <c r="S376" s="1" t="str" cm="1">
        <f t="array" ref="S376">_xlfn.IFS(L376&gt;5,"high",L376=5,"medium",L376&lt;5,"low")</f>
        <v>low</v>
      </c>
      <c r="T376" s="5" t="str">
        <f t="shared" si="28"/>
        <v>low</v>
      </c>
      <c r="U376" s="1">
        <f t="shared" si="29"/>
        <v>5994.54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521.24099999999999</v>
      </c>
      <c r="Q377" s="1">
        <f t="shared" si="26"/>
        <v>2953.6990000000001</v>
      </c>
      <c r="R377" s="1" t="str">
        <f t="shared" si="27"/>
        <v>high</v>
      </c>
      <c r="S377" s="1" t="str" cm="1">
        <f t="array" ref="S377">_xlfn.IFS(L377&gt;5,"high",L377=5,"medium",L377&lt;5,"low")</f>
        <v>high</v>
      </c>
      <c r="T377" s="5" t="str">
        <f t="shared" si="28"/>
        <v>high</v>
      </c>
      <c r="U377" s="1">
        <f t="shared" si="29"/>
        <v>4088.16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175.56</v>
      </c>
      <c r="Q378" s="1">
        <f t="shared" si="26"/>
        <v>3335.64</v>
      </c>
      <c r="R378" s="1" t="str">
        <f t="shared" si="27"/>
        <v>high</v>
      </c>
      <c r="S378" s="1" t="str" cm="1">
        <f t="array" ref="S378">_xlfn.IFS(L378&gt;5,"high",L378=5,"medium",L378&lt;5,"low")</f>
        <v>high</v>
      </c>
      <c r="T378" s="5" t="str">
        <f t="shared" si="28"/>
        <v>high</v>
      </c>
      <c r="U378" s="1">
        <f t="shared" si="29"/>
        <v>3696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2708.9880000000003</v>
      </c>
      <c r="Q379" s="1">
        <f t="shared" si="26"/>
        <v>24380.892</v>
      </c>
      <c r="R379" s="1" t="str">
        <f t="shared" si="27"/>
        <v>high</v>
      </c>
      <c r="S379" s="1" t="str" cm="1">
        <f t="array" ref="S379">_xlfn.IFS(L379&gt;5,"high",L379=5,"medium",L379&lt;5,"low")</f>
        <v>high</v>
      </c>
      <c r="T379" s="5" t="str">
        <f t="shared" si="28"/>
        <v>high</v>
      </c>
      <c r="U379" s="1">
        <f t="shared" si="29"/>
        <v>30099.87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185.75650000000002</v>
      </c>
      <c r="Q380" s="1">
        <f t="shared" si="26"/>
        <v>3529.3735000000001</v>
      </c>
      <c r="R380" s="1" t="str">
        <f t="shared" si="27"/>
        <v>low</v>
      </c>
      <c r="S380" s="1" t="str" cm="1">
        <f t="array" ref="S380">_xlfn.IFS(L380&gt;5,"high",L380=5,"medium",L380&lt;5,"low")</f>
        <v>low</v>
      </c>
      <c r="T380" s="5" t="str">
        <f t="shared" si="28"/>
        <v>low</v>
      </c>
      <c r="U380" s="1">
        <f t="shared" si="29"/>
        <v>3910.66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461.21100000000001</v>
      </c>
      <c r="Q381" s="1">
        <f t="shared" si="26"/>
        <v>4150.8989999999994</v>
      </c>
      <c r="R381" s="1" t="str">
        <f t="shared" si="27"/>
        <v>low</v>
      </c>
      <c r="S381" s="1" t="str" cm="1">
        <f t="array" ref="S381">_xlfn.IFS(L381&gt;5,"high",L381=5,"medium",L381&lt;5,"low")</f>
        <v>low</v>
      </c>
      <c r="T381" s="5" t="str">
        <f t="shared" si="28"/>
        <v>low</v>
      </c>
      <c r="U381" s="1">
        <f t="shared" si="29"/>
        <v>5124.57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69.461500000000001</v>
      </c>
      <c r="Q382" s="1">
        <f t="shared" si="26"/>
        <v>1319.7685000000001</v>
      </c>
      <c r="R382" s="1" t="str">
        <f t="shared" si="27"/>
        <v>low</v>
      </c>
      <c r="S382" s="1" t="str" cm="1">
        <f t="array" ref="S382">_xlfn.IFS(L382&gt;5,"high",L382=5,"medium",L382&lt;5,"low")</f>
        <v>low</v>
      </c>
      <c r="T382" s="5" t="str">
        <f t="shared" si="28"/>
        <v>low</v>
      </c>
      <c r="U382" s="1">
        <f t="shared" si="29"/>
        <v>1462.35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290.43400000000003</v>
      </c>
      <c r="Q383" s="1">
        <f t="shared" si="26"/>
        <v>2613.9059999999999</v>
      </c>
      <c r="R383" s="1" t="str">
        <f t="shared" si="27"/>
        <v>high</v>
      </c>
      <c r="S383" s="1" t="str" cm="1">
        <f t="array" ref="S383">_xlfn.IFS(L383&gt;5,"high",L383=5,"medium",L383&lt;5,"low")</f>
        <v>high</v>
      </c>
      <c r="T383" s="5" t="str">
        <f t="shared" si="28"/>
        <v>high</v>
      </c>
      <c r="U383" s="1">
        <f t="shared" si="29"/>
        <v>3227.04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456.65100000000001</v>
      </c>
      <c r="Q384" s="1">
        <f t="shared" si="26"/>
        <v>2587.6890000000003</v>
      </c>
      <c r="R384" s="1" t="str">
        <f t="shared" si="27"/>
        <v>low</v>
      </c>
      <c r="S384" s="1" t="str" cm="1">
        <f t="array" ref="S384">_xlfn.IFS(L384&gt;5,"high",L384=5,"medium",L384&lt;5,"low")</f>
        <v>low</v>
      </c>
      <c r="T384" s="5" t="str">
        <f t="shared" si="28"/>
        <v>low</v>
      </c>
      <c r="U384" s="1">
        <f t="shared" si="29"/>
        <v>3581.58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1548.5440000000001</v>
      </c>
      <c r="Q385" s="1">
        <f t="shared" si="26"/>
        <v>6194.1760000000004</v>
      </c>
      <c r="R385" s="1" t="str">
        <f t="shared" si="27"/>
        <v>high</v>
      </c>
      <c r="S385" s="1" t="str" cm="1">
        <f t="array" ref="S385">_xlfn.IFS(L385&gt;5,"high",L385=5,"medium",L385&lt;5,"low")</f>
        <v>medium</v>
      </c>
      <c r="T385" s="5" t="str">
        <f t="shared" si="28"/>
        <v>medium</v>
      </c>
      <c r="U385" s="1">
        <f t="shared" si="29"/>
        <v>9678.4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373.17</v>
      </c>
      <c r="Q386" s="1">
        <f t="shared" si="26"/>
        <v>3358.5299999999997</v>
      </c>
      <c r="R386" s="1" t="str">
        <f t="shared" si="27"/>
        <v>low</v>
      </c>
      <c r="S386" s="1" t="str" cm="1">
        <f t="array" ref="S386">_xlfn.IFS(L386&gt;5,"high",L386=5,"medium",L386&lt;5,"low")</f>
        <v>low</v>
      </c>
      <c r="T386" s="5" t="str">
        <f t="shared" si="28"/>
        <v>low</v>
      </c>
      <c r="U386" s="1">
        <f t="shared" si="29"/>
        <v>4146.33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O387*N387%</f>
        <v>357.18800000000005</v>
      </c>
      <c r="Q387" s="1">
        <f t="shared" ref="Q387:Q450" si="31">O387-P387</f>
        <v>3214.692</v>
      </c>
      <c r="R387" s="1" t="str">
        <f t="shared" ref="R387:R450" si="32">IF(L387&gt;=5,"high","low")</f>
        <v>low</v>
      </c>
      <c r="S387" s="1" t="str" cm="1">
        <f t="array" ref="S387">_xlfn.IFS(L387&gt;5,"high",L387=5,"medium",L387&lt;5,"low")</f>
        <v>low</v>
      </c>
      <c r="T387" s="5" t="str">
        <f t="shared" ref="T387:T450" si="33">IF(L387&gt;5,"high",IF(L387=5,"medium","low"))</f>
        <v>low</v>
      </c>
      <c r="U387" s="1">
        <f t="shared" ref="U387:U450" si="34">L387*M387</f>
        <v>3968.76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1402.98</v>
      </c>
      <c r="Q388" s="1">
        <f t="shared" si="31"/>
        <v>7950.2200000000012</v>
      </c>
      <c r="R388" s="1" t="str">
        <f t="shared" si="32"/>
        <v>high</v>
      </c>
      <c r="S388" s="1" t="str" cm="1">
        <f t="array" ref="S388">_xlfn.IFS(L388&gt;5,"high",L388=5,"medium",L388&lt;5,"low")</f>
        <v>high</v>
      </c>
      <c r="T388" s="5" t="str">
        <f t="shared" si="33"/>
        <v>high</v>
      </c>
      <c r="U388" s="1">
        <f t="shared" si="34"/>
        <v>11003.76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548.85299999999995</v>
      </c>
      <c r="Q389" s="1">
        <f t="shared" si="31"/>
        <v>4939.6769999999997</v>
      </c>
      <c r="R389" s="1" t="str">
        <f t="shared" si="32"/>
        <v>low</v>
      </c>
      <c r="S389" s="1" t="str" cm="1">
        <f t="array" ref="S389">_xlfn.IFS(L389&gt;5,"high",L389=5,"medium",L389&lt;5,"low")</f>
        <v>low</v>
      </c>
      <c r="T389" s="5" t="str">
        <f t="shared" si="33"/>
        <v>low</v>
      </c>
      <c r="U389" s="1">
        <f t="shared" si="34"/>
        <v>6098.37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0</v>
      </c>
      <c r="Q390" s="1">
        <f t="shared" si="31"/>
        <v>24215.03</v>
      </c>
      <c r="R390" s="1" t="str">
        <f t="shared" si="32"/>
        <v>high</v>
      </c>
      <c r="S390" s="1" t="str" cm="1">
        <f t="array" ref="S390">_xlfn.IFS(L390&gt;5,"high",L390=5,"medium",L390&lt;5,"low")</f>
        <v>high</v>
      </c>
      <c r="T390" s="5" t="str">
        <f t="shared" si="33"/>
        <v>high</v>
      </c>
      <c r="U390" s="1">
        <f t="shared" si="34"/>
        <v>24215.03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309.87149999999997</v>
      </c>
      <c r="Q391" s="1">
        <f t="shared" si="31"/>
        <v>1755.9385</v>
      </c>
      <c r="R391" s="1" t="str">
        <f t="shared" si="32"/>
        <v>low</v>
      </c>
      <c r="S391" s="1" t="str" cm="1">
        <f t="array" ref="S391">_xlfn.IFS(L391&gt;5,"high",L391=5,"medium",L391&lt;5,"low")</f>
        <v>low</v>
      </c>
      <c r="T391" s="5" t="str">
        <f t="shared" si="33"/>
        <v>low</v>
      </c>
      <c r="U391" s="1">
        <f t="shared" si="34"/>
        <v>2430.36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0</v>
      </c>
      <c r="Q392" s="1">
        <f t="shared" si="31"/>
        <v>16946.52</v>
      </c>
      <c r="R392" s="1" t="str">
        <f t="shared" si="32"/>
        <v>high</v>
      </c>
      <c r="S392" s="1" t="str" cm="1">
        <f t="array" ref="S392">_xlfn.IFS(L392&gt;5,"high",L392=5,"medium",L392&lt;5,"low")</f>
        <v>high</v>
      </c>
      <c r="T392" s="5" t="str">
        <f t="shared" si="33"/>
        <v>high</v>
      </c>
      <c r="U392" s="1">
        <f t="shared" si="34"/>
        <v>16946.52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594.39750000000004</v>
      </c>
      <c r="Q393" s="1">
        <f t="shared" si="31"/>
        <v>3368.2525000000001</v>
      </c>
      <c r="R393" s="1" t="str">
        <f t="shared" si="32"/>
        <v>low</v>
      </c>
      <c r="S393" s="1" t="str" cm="1">
        <f t="array" ref="S393">_xlfn.IFS(L393&gt;5,"high",L393=5,"medium",L393&lt;5,"low")</f>
        <v>low</v>
      </c>
      <c r="T393" s="5" t="str">
        <f t="shared" si="33"/>
        <v>low</v>
      </c>
      <c r="U393" s="1">
        <f t="shared" si="34"/>
        <v>4661.9400000000005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2155.1400000000003</v>
      </c>
      <c r="Q394" s="1">
        <f t="shared" si="31"/>
        <v>19396.260000000002</v>
      </c>
      <c r="R394" s="1" t="str">
        <f t="shared" si="32"/>
        <v>high</v>
      </c>
      <c r="S394" s="1" t="str" cm="1">
        <f t="array" ref="S394">_xlfn.IFS(L394&gt;5,"high",L394=5,"medium",L394&lt;5,"low")</f>
        <v>high</v>
      </c>
      <c r="T394" s="5" t="str">
        <f t="shared" si="33"/>
        <v>high</v>
      </c>
      <c r="U394" s="1">
        <f t="shared" si="34"/>
        <v>23946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0</v>
      </c>
      <c r="Q395" s="1">
        <f t="shared" si="31"/>
        <v>16298.88</v>
      </c>
      <c r="R395" s="1" t="str">
        <f t="shared" si="32"/>
        <v>high</v>
      </c>
      <c r="S395" s="1" t="str" cm="1">
        <f t="array" ref="S395">_xlfn.IFS(L395&gt;5,"high",L395=5,"medium",L395&lt;5,"low")</f>
        <v>high</v>
      </c>
      <c r="T395" s="5" t="str">
        <f t="shared" si="33"/>
        <v>high</v>
      </c>
      <c r="U395" s="1">
        <f t="shared" si="34"/>
        <v>16298.880000000001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109.85599999999999</v>
      </c>
      <c r="Q396" s="1">
        <f t="shared" si="31"/>
        <v>988.70399999999995</v>
      </c>
      <c r="R396" s="1" t="str">
        <f t="shared" si="32"/>
        <v>low</v>
      </c>
      <c r="S396" s="1" t="str" cm="1">
        <f t="array" ref="S396">_xlfn.IFS(L396&gt;5,"high",L396=5,"medium",L396&lt;5,"low")</f>
        <v>low</v>
      </c>
      <c r="T396" s="5" t="str">
        <f t="shared" si="33"/>
        <v>low</v>
      </c>
      <c r="U396" s="1">
        <f t="shared" si="34"/>
        <v>1220.6199999999999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1801.3229999999999</v>
      </c>
      <c r="Q397" s="1">
        <f t="shared" si="31"/>
        <v>10207.496999999999</v>
      </c>
      <c r="R397" s="1" t="str">
        <f t="shared" si="32"/>
        <v>high</v>
      </c>
      <c r="S397" s="1" t="str" cm="1">
        <f t="array" ref="S397">_xlfn.IFS(L397&gt;5,"high",L397=5,"medium",L397&lt;5,"low")</f>
        <v>high</v>
      </c>
      <c r="T397" s="5" t="str">
        <f t="shared" si="33"/>
        <v>high</v>
      </c>
      <c r="U397" s="1">
        <f t="shared" si="34"/>
        <v>14128.02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717.23</v>
      </c>
      <c r="Q398" s="1">
        <f t="shared" si="31"/>
        <v>6455.07</v>
      </c>
      <c r="R398" s="1" t="str">
        <f t="shared" si="32"/>
        <v>high</v>
      </c>
      <c r="S398" s="1" t="str" cm="1">
        <f t="array" ref="S398">_xlfn.IFS(L398&gt;5,"high",L398=5,"medium",L398&lt;5,"low")</f>
        <v>high</v>
      </c>
      <c r="T398" s="5" t="str">
        <f t="shared" si="33"/>
        <v>high</v>
      </c>
      <c r="U398" s="1">
        <f t="shared" si="34"/>
        <v>7969.22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0</v>
      </c>
      <c r="Q399" s="1">
        <f t="shared" si="31"/>
        <v>16228.85</v>
      </c>
      <c r="R399" s="1" t="str">
        <f t="shared" si="32"/>
        <v>high</v>
      </c>
      <c r="S399" s="1" t="str" cm="1">
        <f t="array" ref="S399">_xlfn.IFS(L399&gt;5,"high",L399=5,"medium",L399&lt;5,"low")</f>
        <v>medium</v>
      </c>
      <c r="T399" s="5" t="str">
        <f t="shared" si="33"/>
        <v>medium</v>
      </c>
      <c r="U399" s="1">
        <f t="shared" si="34"/>
        <v>16228.85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0</v>
      </c>
      <c r="Q400" s="1">
        <f t="shared" si="31"/>
        <v>5369.58</v>
      </c>
      <c r="R400" s="1" t="str">
        <f t="shared" si="32"/>
        <v>low</v>
      </c>
      <c r="S400" s="1" t="str" cm="1">
        <f t="array" ref="S400">_xlfn.IFS(L400&gt;5,"high",L400=5,"medium",L400&lt;5,"low")</f>
        <v>low</v>
      </c>
      <c r="T400" s="5" t="str">
        <f t="shared" si="33"/>
        <v>low</v>
      </c>
      <c r="U400" s="1">
        <f t="shared" si="34"/>
        <v>5369.58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1432.6310000000001</v>
      </c>
      <c r="Q401" s="1">
        <f t="shared" si="31"/>
        <v>12893.679</v>
      </c>
      <c r="R401" s="1" t="str">
        <f t="shared" si="32"/>
        <v>low</v>
      </c>
      <c r="S401" s="1" t="str" cm="1">
        <f t="array" ref="S401">_xlfn.IFS(L401&gt;5,"high",L401=5,"medium",L401&lt;5,"low")</f>
        <v>low</v>
      </c>
      <c r="T401" s="5" t="str">
        <f t="shared" si="33"/>
        <v>low</v>
      </c>
      <c r="U401" s="1">
        <f t="shared" si="34"/>
        <v>15918.12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96.164500000000004</v>
      </c>
      <c r="Q402" s="1">
        <f t="shared" si="31"/>
        <v>1827.1254999999999</v>
      </c>
      <c r="R402" s="1" t="str">
        <f t="shared" si="32"/>
        <v>low</v>
      </c>
      <c r="S402" s="1" t="str" cm="1">
        <f t="array" ref="S402">_xlfn.IFS(L402&gt;5,"high",L402=5,"medium",L402&lt;5,"low")</f>
        <v>low</v>
      </c>
      <c r="T402" s="5" t="str">
        <f t="shared" si="33"/>
        <v>low</v>
      </c>
      <c r="U402" s="1">
        <f t="shared" si="34"/>
        <v>2024.52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2413.0694999999996</v>
      </c>
      <c r="Q403" s="1">
        <f t="shared" si="31"/>
        <v>13674.0605</v>
      </c>
      <c r="R403" s="1" t="str">
        <f t="shared" si="32"/>
        <v>high</v>
      </c>
      <c r="S403" s="1" t="str" cm="1">
        <f t="array" ref="S403">_xlfn.IFS(L403&gt;5,"high",L403=5,"medium",L403&lt;5,"low")</f>
        <v>high</v>
      </c>
      <c r="T403" s="5" t="str">
        <f t="shared" si="33"/>
        <v>high</v>
      </c>
      <c r="U403" s="1">
        <f t="shared" si="34"/>
        <v>18926.04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349.82850000000002</v>
      </c>
      <c r="Q404" s="1">
        <f t="shared" si="31"/>
        <v>1982.3615</v>
      </c>
      <c r="R404" s="1" t="str">
        <f t="shared" si="32"/>
        <v>low</v>
      </c>
      <c r="S404" s="1" t="str" cm="1">
        <f t="array" ref="S404">_xlfn.IFS(L404&gt;5,"high",L404=5,"medium",L404&lt;5,"low")</f>
        <v>low</v>
      </c>
      <c r="T404" s="5" t="str">
        <f t="shared" si="33"/>
        <v>low</v>
      </c>
      <c r="U404" s="1">
        <f t="shared" si="34"/>
        <v>2743.75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1117.7530000000002</v>
      </c>
      <c r="Q405" s="1">
        <f t="shared" si="31"/>
        <v>10059.777</v>
      </c>
      <c r="R405" s="1" t="str">
        <f t="shared" si="32"/>
        <v>low</v>
      </c>
      <c r="S405" s="1" t="str" cm="1">
        <f t="array" ref="S405">_xlfn.IFS(L405&gt;5,"high",L405=5,"medium",L405&lt;5,"low")</f>
        <v>low</v>
      </c>
      <c r="T405" s="5" t="str">
        <f t="shared" si="33"/>
        <v>low</v>
      </c>
      <c r="U405" s="1">
        <f t="shared" si="34"/>
        <v>12419.48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253.458</v>
      </c>
      <c r="Q406" s="1">
        <f t="shared" si="31"/>
        <v>4815.7020000000002</v>
      </c>
      <c r="R406" s="1" t="str">
        <f t="shared" si="32"/>
        <v>low</v>
      </c>
      <c r="S406" s="1" t="str" cm="1">
        <f t="array" ref="S406">_xlfn.IFS(L406&gt;5,"high",L406=5,"medium",L406&lt;5,"low")</f>
        <v>low</v>
      </c>
      <c r="T406" s="5" t="str">
        <f t="shared" si="33"/>
        <v>low</v>
      </c>
      <c r="U406" s="1">
        <f t="shared" si="34"/>
        <v>5335.96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0</v>
      </c>
      <c r="Q407" s="1">
        <f t="shared" si="31"/>
        <v>2044.41</v>
      </c>
      <c r="R407" s="1" t="str">
        <f t="shared" si="32"/>
        <v>low</v>
      </c>
      <c r="S407" s="1" t="str" cm="1">
        <f t="array" ref="S407">_xlfn.IFS(L407&gt;5,"high",L407=5,"medium",L407&lt;5,"low")</f>
        <v>low</v>
      </c>
      <c r="T407" s="5" t="str">
        <f t="shared" si="33"/>
        <v>low</v>
      </c>
      <c r="U407" s="1">
        <f t="shared" si="34"/>
        <v>2044.41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4631.8460000000005</v>
      </c>
      <c r="Q408" s="1">
        <f t="shared" si="31"/>
        <v>18527.383999999998</v>
      </c>
      <c r="R408" s="1" t="str">
        <f t="shared" si="32"/>
        <v>high</v>
      </c>
      <c r="S408" s="1" t="str" cm="1">
        <f t="array" ref="S408">_xlfn.IFS(L408&gt;5,"high",L408=5,"medium",L408&lt;5,"low")</f>
        <v>high</v>
      </c>
      <c r="T408" s="5" t="str">
        <f t="shared" si="33"/>
        <v>high</v>
      </c>
      <c r="U408" s="1">
        <f t="shared" si="34"/>
        <v>28949.040000000001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668.98</v>
      </c>
      <c r="Q409" s="1">
        <f t="shared" si="31"/>
        <v>2675.92</v>
      </c>
      <c r="R409" s="1" t="str">
        <f t="shared" si="32"/>
        <v>low</v>
      </c>
      <c r="S409" s="1" t="str" cm="1">
        <f t="array" ref="S409">_xlfn.IFS(L409&gt;5,"high",L409=5,"medium",L409&lt;5,"low")</f>
        <v>low</v>
      </c>
      <c r="T409" s="5" t="str">
        <f t="shared" si="33"/>
        <v>low</v>
      </c>
      <c r="U409" s="1">
        <f t="shared" si="34"/>
        <v>4181.12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642.745</v>
      </c>
      <c r="Q410" s="1">
        <f t="shared" si="31"/>
        <v>5784.7049999999999</v>
      </c>
      <c r="R410" s="1" t="str">
        <f t="shared" si="32"/>
        <v>high</v>
      </c>
      <c r="S410" s="1" t="str" cm="1">
        <f t="array" ref="S410">_xlfn.IFS(L410&gt;5,"high",L410=5,"medium",L410&lt;5,"low")</f>
        <v>high</v>
      </c>
      <c r="T410" s="5" t="str">
        <f t="shared" si="33"/>
        <v>high</v>
      </c>
      <c r="U410" s="1">
        <f t="shared" si="34"/>
        <v>7141.6100000000006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323.69600000000003</v>
      </c>
      <c r="Q411" s="1">
        <f t="shared" si="31"/>
        <v>6150.2240000000002</v>
      </c>
      <c r="R411" s="1" t="str">
        <f t="shared" si="32"/>
        <v>low</v>
      </c>
      <c r="S411" s="1" t="str" cm="1">
        <f t="array" ref="S411">_xlfn.IFS(L411&gt;5,"high",L411=5,"medium",L411&lt;5,"low")</f>
        <v>low</v>
      </c>
      <c r="T411" s="5" t="str">
        <f t="shared" si="33"/>
        <v>low</v>
      </c>
      <c r="U411" s="1">
        <f t="shared" si="34"/>
        <v>6814.6500000000005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308.61500000000001</v>
      </c>
      <c r="Q412" s="1">
        <f t="shared" si="31"/>
        <v>5863.6850000000004</v>
      </c>
      <c r="R412" s="1" t="str">
        <f t="shared" si="32"/>
        <v>low</v>
      </c>
      <c r="S412" s="1" t="str" cm="1">
        <f t="array" ref="S412">_xlfn.IFS(L412&gt;5,"high",L412=5,"medium",L412&lt;5,"low")</f>
        <v>low</v>
      </c>
      <c r="T412" s="5" t="str">
        <f t="shared" si="33"/>
        <v>low</v>
      </c>
      <c r="U412" s="1">
        <f t="shared" si="34"/>
        <v>6497.16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1261.4444999999998</v>
      </c>
      <c r="Q413" s="1">
        <f t="shared" si="31"/>
        <v>7148.1854999999996</v>
      </c>
      <c r="R413" s="1" t="str">
        <f t="shared" si="32"/>
        <v>high</v>
      </c>
      <c r="S413" s="1" t="str" cm="1">
        <f t="array" ref="S413">_xlfn.IFS(L413&gt;5,"high",L413=5,"medium",L413&lt;5,"low")</f>
        <v>high</v>
      </c>
      <c r="T413" s="5" t="str">
        <f t="shared" si="33"/>
        <v>high</v>
      </c>
      <c r="U413" s="1">
        <f t="shared" si="34"/>
        <v>9893.68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0</v>
      </c>
      <c r="Q414" s="1">
        <f t="shared" si="31"/>
        <v>10380.719999999999</v>
      </c>
      <c r="R414" s="1" t="str">
        <f t="shared" si="32"/>
        <v>high</v>
      </c>
      <c r="S414" s="1" t="str" cm="1">
        <f t="array" ref="S414">_xlfn.IFS(L414&gt;5,"high",L414=5,"medium",L414&lt;5,"low")</f>
        <v>high</v>
      </c>
      <c r="T414" s="5" t="str">
        <f t="shared" si="33"/>
        <v>high</v>
      </c>
      <c r="U414" s="1">
        <f t="shared" si="34"/>
        <v>10380.719999999999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57.935500000000005</v>
      </c>
      <c r="Q415" s="1">
        <f t="shared" si="31"/>
        <v>1100.7745</v>
      </c>
      <c r="R415" s="1" t="str">
        <f t="shared" si="32"/>
        <v>low</v>
      </c>
      <c r="S415" s="1" t="str" cm="1">
        <f t="array" ref="S415">_xlfn.IFS(L415&gt;5,"high",L415=5,"medium",L415&lt;5,"low")</f>
        <v>low</v>
      </c>
      <c r="T415" s="5" t="str">
        <f t="shared" si="33"/>
        <v>low</v>
      </c>
      <c r="U415" s="1">
        <f t="shared" si="34"/>
        <v>1219.7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998.50200000000007</v>
      </c>
      <c r="Q416" s="1">
        <f t="shared" si="31"/>
        <v>3994.0080000000003</v>
      </c>
      <c r="R416" s="1" t="str">
        <f t="shared" si="32"/>
        <v>low</v>
      </c>
      <c r="S416" s="1" t="str" cm="1">
        <f t="array" ref="S416">_xlfn.IFS(L416&gt;5,"high",L416=5,"medium",L416&lt;5,"low")</f>
        <v>low</v>
      </c>
      <c r="T416" s="5" t="str">
        <f t="shared" si="33"/>
        <v>low</v>
      </c>
      <c r="U416" s="1">
        <f t="shared" si="34"/>
        <v>6240.64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0</v>
      </c>
      <c r="Q417" s="1">
        <f t="shared" si="31"/>
        <v>21278.560000000001</v>
      </c>
      <c r="R417" s="1" t="str">
        <f t="shared" si="32"/>
        <v>high</v>
      </c>
      <c r="S417" s="1" t="str" cm="1">
        <f t="array" ref="S417">_xlfn.IFS(L417&gt;5,"high",L417=5,"medium",L417&lt;5,"low")</f>
        <v>high</v>
      </c>
      <c r="T417" s="5" t="str">
        <f t="shared" si="33"/>
        <v>high</v>
      </c>
      <c r="U417" s="1">
        <f t="shared" si="34"/>
        <v>21278.560000000001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0</v>
      </c>
      <c r="Q418" s="1">
        <f t="shared" si="31"/>
        <v>3354.81</v>
      </c>
      <c r="R418" s="1" t="str">
        <f t="shared" si="32"/>
        <v>low</v>
      </c>
      <c r="S418" s="1" t="str" cm="1">
        <f t="array" ref="S418">_xlfn.IFS(L418&gt;5,"high",L418=5,"medium",L418&lt;5,"low")</f>
        <v>low</v>
      </c>
      <c r="T418" s="5" t="str">
        <f t="shared" si="33"/>
        <v>low</v>
      </c>
      <c r="U418" s="1">
        <f t="shared" si="34"/>
        <v>3354.81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2812.01</v>
      </c>
      <c r="Q419" s="1">
        <f t="shared" si="31"/>
        <v>25308.089999999997</v>
      </c>
      <c r="R419" s="1" t="str">
        <f t="shared" si="32"/>
        <v>high</v>
      </c>
      <c r="S419" s="1" t="str" cm="1">
        <f t="array" ref="S419">_xlfn.IFS(L419&gt;5,"high",L419=5,"medium",L419&lt;5,"low")</f>
        <v>high</v>
      </c>
      <c r="T419" s="5" t="str">
        <f t="shared" si="33"/>
        <v>high</v>
      </c>
      <c r="U419" s="1">
        <f t="shared" si="34"/>
        <v>31244.560000000001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750.70150000000012</v>
      </c>
      <c r="Q420" s="1">
        <f t="shared" si="31"/>
        <v>14263.3285</v>
      </c>
      <c r="R420" s="1" t="str">
        <f t="shared" si="32"/>
        <v>high</v>
      </c>
      <c r="S420" s="1" t="str" cm="1">
        <f t="array" ref="S420">_xlfn.IFS(L420&gt;5,"high",L420=5,"medium",L420&lt;5,"low")</f>
        <v>high</v>
      </c>
      <c r="T420" s="5" t="str">
        <f t="shared" si="33"/>
        <v>high</v>
      </c>
      <c r="U420" s="1">
        <f t="shared" si="34"/>
        <v>15804.24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73.219000000000008</v>
      </c>
      <c r="Q421" s="1">
        <f t="shared" si="31"/>
        <v>658.971</v>
      </c>
      <c r="R421" s="1" t="str">
        <f t="shared" si="32"/>
        <v>low</v>
      </c>
      <c r="S421" s="1" t="str" cm="1">
        <f t="array" ref="S421">_xlfn.IFS(L421&gt;5,"high",L421=5,"medium",L421&lt;5,"low")</f>
        <v>low</v>
      </c>
      <c r="T421" s="5" t="str">
        <f t="shared" si="33"/>
        <v>low</v>
      </c>
      <c r="U421" s="1">
        <f t="shared" si="34"/>
        <v>813.54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63.680499999999995</v>
      </c>
      <c r="Q422" s="1">
        <f t="shared" si="31"/>
        <v>1209.9295</v>
      </c>
      <c r="R422" s="1" t="str">
        <f t="shared" si="32"/>
        <v>low</v>
      </c>
      <c r="S422" s="1" t="str" cm="1">
        <f t="array" ref="S422">_xlfn.IFS(L422&gt;5,"high",L422=5,"medium",L422&lt;5,"low")</f>
        <v>low</v>
      </c>
      <c r="T422" s="5" t="str">
        <f t="shared" si="33"/>
        <v>low</v>
      </c>
      <c r="U422" s="1">
        <f t="shared" si="34"/>
        <v>1340.64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985.55700000000002</v>
      </c>
      <c r="Q423" s="1">
        <f t="shared" si="31"/>
        <v>5584.8230000000003</v>
      </c>
      <c r="R423" s="1" t="str">
        <f t="shared" si="32"/>
        <v>high</v>
      </c>
      <c r="S423" s="1" t="str" cm="1">
        <f t="array" ref="S423">_xlfn.IFS(L423&gt;5,"high",L423=5,"medium",L423&lt;5,"low")</f>
        <v>high</v>
      </c>
      <c r="T423" s="5" t="str">
        <f t="shared" si="33"/>
        <v>high</v>
      </c>
      <c r="U423" s="1">
        <f t="shared" si="34"/>
        <v>7729.86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3029.643</v>
      </c>
      <c r="Q424" s="1">
        <f t="shared" si="31"/>
        <v>27266.787</v>
      </c>
      <c r="R424" s="1" t="str">
        <f t="shared" si="32"/>
        <v>high</v>
      </c>
      <c r="S424" s="1" t="str" cm="1">
        <f t="array" ref="S424">_xlfn.IFS(L424&gt;5,"high",L424=5,"medium",L424&lt;5,"low")</f>
        <v>high</v>
      </c>
      <c r="T424" s="5" t="str">
        <f t="shared" si="33"/>
        <v>high</v>
      </c>
      <c r="U424" s="1">
        <f t="shared" si="34"/>
        <v>33662.700000000004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1558.346</v>
      </c>
      <c r="Q425" s="1">
        <f t="shared" si="31"/>
        <v>14025.114</v>
      </c>
      <c r="R425" s="1" t="str">
        <f t="shared" si="32"/>
        <v>high</v>
      </c>
      <c r="S425" s="1" t="str" cm="1">
        <f t="array" ref="S425">_xlfn.IFS(L425&gt;5,"high",L425=5,"medium",L425&lt;5,"low")</f>
        <v>high</v>
      </c>
      <c r="T425" s="5" t="str">
        <f t="shared" si="33"/>
        <v>high</v>
      </c>
      <c r="U425" s="1">
        <f t="shared" si="34"/>
        <v>17314.96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1531.366</v>
      </c>
      <c r="Q426" s="1">
        <f t="shared" si="31"/>
        <v>6125.4639999999999</v>
      </c>
      <c r="R426" s="1" t="str">
        <f t="shared" si="32"/>
        <v>high</v>
      </c>
      <c r="S426" s="1" t="str" cm="1">
        <f t="array" ref="S426">_xlfn.IFS(L426&gt;5,"high",L426=5,"medium",L426&lt;5,"low")</f>
        <v>high</v>
      </c>
      <c r="T426" s="5" t="str">
        <f t="shared" si="33"/>
        <v>high</v>
      </c>
      <c r="U426" s="1">
        <f t="shared" si="34"/>
        <v>9571.0400000000009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1062.6780000000001</v>
      </c>
      <c r="Q427" s="1">
        <f t="shared" si="31"/>
        <v>9564.1020000000008</v>
      </c>
      <c r="R427" s="1" t="str">
        <f t="shared" si="32"/>
        <v>high</v>
      </c>
      <c r="S427" s="1" t="str" cm="1">
        <f t="array" ref="S427">_xlfn.IFS(L427&gt;5,"high",L427=5,"medium",L427&lt;5,"low")</f>
        <v>high</v>
      </c>
      <c r="T427" s="5" t="str">
        <f t="shared" si="33"/>
        <v>high</v>
      </c>
      <c r="U427" s="1">
        <f t="shared" si="34"/>
        <v>11807.529999999999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1049.3370000000002</v>
      </c>
      <c r="Q428" s="1">
        <f t="shared" si="31"/>
        <v>19937.403000000002</v>
      </c>
      <c r="R428" s="1" t="str">
        <f t="shared" si="32"/>
        <v>high</v>
      </c>
      <c r="S428" s="1" t="str" cm="1">
        <f t="array" ref="S428">_xlfn.IFS(L428&gt;5,"high",L428=5,"medium",L428&lt;5,"low")</f>
        <v>high</v>
      </c>
      <c r="T428" s="5" t="str">
        <f t="shared" si="33"/>
        <v>high</v>
      </c>
      <c r="U428" s="1">
        <f t="shared" si="34"/>
        <v>22091.31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852.43600000000015</v>
      </c>
      <c r="Q429" s="1">
        <f t="shared" si="31"/>
        <v>3409.7440000000001</v>
      </c>
      <c r="R429" s="1" t="str">
        <f t="shared" si="32"/>
        <v>low</v>
      </c>
      <c r="S429" s="1" t="str" cm="1">
        <f t="array" ref="S429">_xlfn.IFS(L429&gt;5,"high",L429=5,"medium",L429&lt;5,"low")</f>
        <v>low</v>
      </c>
      <c r="T429" s="5" t="str">
        <f t="shared" si="33"/>
        <v>low</v>
      </c>
      <c r="U429" s="1">
        <f t="shared" si="34"/>
        <v>5327.72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200.49900000000002</v>
      </c>
      <c r="Q430" s="1">
        <f t="shared" si="31"/>
        <v>1804.491</v>
      </c>
      <c r="R430" s="1" t="str">
        <f t="shared" si="32"/>
        <v>low</v>
      </c>
      <c r="S430" s="1" t="str" cm="1">
        <f t="array" ref="S430">_xlfn.IFS(L430&gt;5,"high",L430=5,"medium",L430&lt;5,"low")</f>
        <v>low</v>
      </c>
      <c r="T430" s="5" t="str">
        <f t="shared" si="33"/>
        <v>low</v>
      </c>
      <c r="U430" s="1">
        <f t="shared" si="34"/>
        <v>2227.77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2816.33</v>
      </c>
      <c r="Q431" s="1">
        <f t="shared" si="31"/>
        <v>25346.97</v>
      </c>
      <c r="R431" s="1" t="str">
        <f t="shared" si="32"/>
        <v>high</v>
      </c>
      <c r="S431" s="1" t="str" cm="1">
        <f t="array" ref="S431">_xlfn.IFS(L431&gt;5,"high",L431=5,"medium",L431&lt;5,"low")</f>
        <v>high</v>
      </c>
      <c r="T431" s="5" t="str">
        <f t="shared" si="33"/>
        <v>high</v>
      </c>
      <c r="U431" s="1">
        <f t="shared" si="34"/>
        <v>31292.560000000001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1719.2384999999999</v>
      </c>
      <c r="Q432" s="1">
        <f t="shared" si="31"/>
        <v>9742.3515000000007</v>
      </c>
      <c r="R432" s="1" t="str">
        <f t="shared" si="32"/>
        <v>high</v>
      </c>
      <c r="S432" s="1" t="str" cm="1">
        <f t="array" ref="S432">_xlfn.IFS(L432&gt;5,"high",L432=5,"medium",L432&lt;5,"low")</f>
        <v>high</v>
      </c>
      <c r="T432" s="5" t="str">
        <f t="shared" si="33"/>
        <v>high</v>
      </c>
      <c r="U432" s="1">
        <f t="shared" si="34"/>
        <v>13484.22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544.64400000000001</v>
      </c>
      <c r="Q433" s="1">
        <f t="shared" si="31"/>
        <v>4901.7959999999994</v>
      </c>
      <c r="R433" s="1" t="str">
        <f t="shared" si="32"/>
        <v>high</v>
      </c>
      <c r="S433" s="1" t="str" cm="1">
        <f t="array" ref="S433">_xlfn.IFS(L433&gt;5,"high",L433=5,"medium",L433&lt;5,"low")</f>
        <v>high</v>
      </c>
      <c r="T433" s="5" t="str">
        <f t="shared" si="33"/>
        <v>high</v>
      </c>
      <c r="U433" s="1">
        <f t="shared" si="34"/>
        <v>6051.5999999999995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0</v>
      </c>
      <c r="Q434" s="1">
        <f t="shared" si="31"/>
        <v>14362</v>
      </c>
      <c r="R434" s="1" t="str">
        <f t="shared" si="32"/>
        <v>low</v>
      </c>
      <c r="S434" s="1" t="str" cm="1">
        <f t="array" ref="S434">_xlfn.IFS(L434&gt;5,"high",L434=5,"medium",L434&lt;5,"low")</f>
        <v>low</v>
      </c>
      <c r="T434" s="5" t="str">
        <f t="shared" si="33"/>
        <v>low</v>
      </c>
      <c r="U434" s="1">
        <f t="shared" si="34"/>
        <v>14362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559.82000000000005</v>
      </c>
      <c r="Q435" s="1">
        <f t="shared" si="31"/>
        <v>2239.2799999999997</v>
      </c>
      <c r="R435" s="1" t="str">
        <f t="shared" si="32"/>
        <v>high</v>
      </c>
      <c r="S435" s="1" t="str" cm="1">
        <f t="array" ref="S435">_xlfn.IFS(L435&gt;5,"high",L435=5,"medium",L435&lt;5,"low")</f>
        <v>high</v>
      </c>
      <c r="T435" s="5" t="str">
        <f t="shared" si="33"/>
        <v>high</v>
      </c>
      <c r="U435" s="1">
        <f t="shared" si="34"/>
        <v>3498.88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0</v>
      </c>
      <c r="Q436" s="1">
        <f t="shared" si="31"/>
        <v>10934.34</v>
      </c>
      <c r="R436" s="1" t="str">
        <f t="shared" si="32"/>
        <v>low</v>
      </c>
      <c r="S436" s="1" t="str" cm="1">
        <f t="array" ref="S436">_xlfn.IFS(L436&gt;5,"high",L436=5,"medium",L436&lt;5,"low")</f>
        <v>low</v>
      </c>
      <c r="T436" s="5" t="str">
        <f t="shared" si="33"/>
        <v>low</v>
      </c>
      <c r="U436" s="1">
        <f t="shared" si="34"/>
        <v>10934.34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1913.6540000000002</v>
      </c>
      <c r="Q437" s="1">
        <f t="shared" si="31"/>
        <v>7654.616</v>
      </c>
      <c r="R437" s="1" t="str">
        <f t="shared" si="32"/>
        <v>low</v>
      </c>
      <c r="S437" s="1" t="str" cm="1">
        <f t="array" ref="S437">_xlfn.IFS(L437&gt;5,"high",L437=5,"medium",L437&lt;5,"low")</f>
        <v>low</v>
      </c>
      <c r="T437" s="5" t="str">
        <f t="shared" si="33"/>
        <v>low</v>
      </c>
      <c r="U437" s="1">
        <f t="shared" si="34"/>
        <v>11960.34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2903.5934999999999</v>
      </c>
      <c r="Q438" s="1">
        <f t="shared" si="31"/>
        <v>16453.696500000002</v>
      </c>
      <c r="R438" s="1" t="str">
        <f t="shared" si="32"/>
        <v>high</v>
      </c>
      <c r="S438" s="1" t="str" cm="1">
        <f t="array" ref="S438">_xlfn.IFS(L438&gt;5,"high",L438=5,"medium",L438&lt;5,"low")</f>
        <v>high</v>
      </c>
      <c r="T438" s="5" t="str">
        <f t="shared" si="33"/>
        <v>high</v>
      </c>
      <c r="U438" s="1">
        <f t="shared" si="34"/>
        <v>22773.279999999999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1402.299</v>
      </c>
      <c r="Q439" s="1">
        <f t="shared" si="31"/>
        <v>12620.690999999999</v>
      </c>
      <c r="R439" s="1" t="str">
        <f t="shared" si="32"/>
        <v>high</v>
      </c>
      <c r="S439" s="1" t="str" cm="1">
        <f t="array" ref="S439">_xlfn.IFS(L439&gt;5,"high",L439=5,"medium",L439&lt;5,"low")</f>
        <v>medium</v>
      </c>
      <c r="T439" s="5" t="str">
        <f t="shared" si="33"/>
        <v>medium</v>
      </c>
      <c r="U439" s="1">
        <f t="shared" si="34"/>
        <v>15581.099999999999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391.12700000000001</v>
      </c>
      <c r="Q440" s="1">
        <f t="shared" si="31"/>
        <v>3520.143</v>
      </c>
      <c r="R440" s="1" t="str">
        <f t="shared" si="32"/>
        <v>low</v>
      </c>
      <c r="S440" s="1" t="str" cm="1">
        <f t="array" ref="S440">_xlfn.IFS(L440&gt;5,"high",L440=5,"medium",L440&lt;5,"low")</f>
        <v>low</v>
      </c>
      <c r="T440" s="5" t="str">
        <f t="shared" si="33"/>
        <v>low</v>
      </c>
      <c r="U440" s="1">
        <f t="shared" si="34"/>
        <v>4345.8599999999997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339.75600000000003</v>
      </c>
      <c r="Q441" s="1">
        <f t="shared" si="31"/>
        <v>3057.8040000000001</v>
      </c>
      <c r="R441" s="1" t="str">
        <f t="shared" si="32"/>
        <v>low</v>
      </c>
      <c r="S441" s="1" t="str" cm="1">
        <f t="array" ref="S441">_xlfn.IFS(L441&gt;5,"high",L441=5,"medium",L441&lt;5,"low")</f>
        <v>low</v>
      </c>
      <c r="T441" s="5" t="str">
        <f t="shared" si="33"/>
        <v>low</v>
      </c>
      <c r="U441" s="1">
        <f t="shared" si="34"/>
        <v>3775.07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1050.912</v>
      </c>
      <c r="Q442" s="1">
        <f t="shared" si="31"/>
        <v>4203.6480000000001</v>
      </c>
      <c r="R442" s="1" t="str">
        <f t="shared" si="32"/>
        <v>low</v>
      </c>
      <c r="S442" s="1" t="str" cm="1">
        <f t="array" ref="S442">_xlfn.IFS(L442&gt;5,"high",L442=5,"medium",L442&lt;5,"low")</f>
        <v>low</v>
      </c>
      <c r="T442" s="5" t="str">
        <f t="shared" si="33"/>
        <v>low</v>
      </c>
      <c r="U442" s="1">
        <f t="shared" si="34"/>
        <v>6568.2000000000007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2405.4569999999999</v>
      </c>
      <c r="Q443" s="1">
        <f t="shared" si="31"/>
        <v>21649.113000000001</v>
      </c>
      <c r="R443" s="1" t="str">
        <f t="shared" si="32"/>
        <v>high</v>
      </c>
      <c r="S443" s="1" t="str" cm="1">
        <f t="array" ref="S443">_xlfn.IFS(L443&gt;5,"high",L443=5,"medium",L443&lt;5,"low")</f>
        <v>high</v>
      </c>
      <c r="T443" s="5" t="str">
        <f t="shared" si="33"/>
        <v>high</v>
      </c>
      <c r="U443" s="1">
        <f t="shared" si="34"/>
        <v>26727.3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0</v>
      </c>
      <c r="Q444" s="1">
        <f t="shared" si="31"/>
        <v>18539.05</v>
      </c>
      <c r="R444" s="1" t="str">
        <f t="shared" si="32"/>
        <v>high</v>
      </c>
      <c r="S444" s="1" t="str" cm="1">
        <f t="array" ref="S444">_xlfn.IFS(L444&gt;5,"high",L444=5,"medium",L444&lt;5,"low")</f>
        <v>medium</v>
      </c>
      <c r="T444" s="5" t="str">
        <f t="shared" si="33"/>
        <v>medium</v>
      </c>
      <c r="U444" s="1">
        <f t="shared" si="34"/>
        <v>18539.05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702.79899999999998</v>
      </c>
      <c r="Q445" s="1">
        <f t="shared" si="31"/>
        <v>6325.1909999999998</v>
      </c>
      <c r="R445" s="1" t="str">
        <f t="shared" si="32"/>
        <v>low</v>
      </c>
      <c r="S445" s="1" t="str" cm="1">
        <f t="array" ref="S445">_xlfn.IFS(L445&gt;5,"high",L445=5,"medium",L445&lt;5,"low")</f>
        <v>low</v>
      </c>
      <c r="T445" s="5" t="str">
        <f t="shared" si="33"/>
        <v>low</v>
      </c>
      <c r="U445" s="1">
        <f t="shared" si="34"/>
        <v>7808.88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2996.8724999999999</v>
      </c>
      <c r="Q446" s="1">
        <f t="shared" si="31"/>
        <v>16982.2775</v>
      </c>
      <c r="R446" s="1" t="str">
        <f t="shared" si="32"/>
        <v>high</v>
      </c>
      <c r="S446" s="1" t="str" cm="1">
        <f t="array" ref="S446">_xlfn.IFS(L446&gt;5,"high",L446=5,"medium",L446&lt;5,"low")</f>
        <v>high</v>
      </c>
      <c r="T446" s="5" t="str">
        <f t="shared" si="33"/>
        <v>high</v>
      </c>
      <c r="U446" s="1">
        <f t="shared" si="34"/>
        <v>23504.880000000001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0</v>
      </c>
      <c r="Q447" s="1">
        <f t="shared" si="31"/>
        <v>2633.24</v>
      </c>
      <c r="R447" s="1" t="str">
        <f t="shared" si="32"/>
        <v>low</v>
      </c>
      <c r="S447" s="1" t="str" cm="1">
        <f t="array" ref="S447">_xlfn.IFS(L447&gt;5,"high",L447=5,"medium",L447&lt;5,"low")</f>
        <v>low</v>
      </c>
      <c r="T447" s="5" t="str">
        <f t="shared" si="33"/>
        <v>low</v>
      </c>
      <c r="U447" s="1">
        <f t="shared" si="34"/>
        <v>2633.24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1393.6360000000002</v>
      </c>
      <c r="Q448" s="1">
        <f t="shared" si="31"/>
        <v>12542.724</v>
      </c>
      <c r="R448" s="1" t="str">
        <f t="shared" si="32"/>
        <v>low</v>
      </c>
      <c r="S448" s="1" t="str" cm="1">
        <f t="array" ref="S448">_xlfn.IFS(L448&gt;5,"high",L448=5,"medium",L448&lt;5,"low")</f>
        <v>low</v>
      </c>
      <c r="T448" s="5" t="str">
        <f t="shared" si="33"/>
        <v>low</v>
      </c>
      <c r="U448" s="1">
        <f t="shared" si="34"/>
        <v>15484.84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1618.0040000000001</v>
      </c>
      <c r="Q449" s="1">
        <f t="shared" si="31"/>
        <v>14562.036</v>
      </c>
      <c r="R449" s="1" t="str">
        <f t="shared" si="32"/>
        <v>high</v>
      </c>
      <c r="S449" s="1" t="str" cm="1">
        <f t="array" ref="S449">_xlfn.IFS(L449&gt;5,"high",L449=5,"medium",L449&lt;5,"low")</f>
        <v>high</v>
      </c>
      <c r="T449" s="5" t="str">
        <f t="shared" si="33"/>
        <v>high</v>
      </c>
      <c r="U449" s="1">
        <f t="shared" si="34"/>
        <v>17977.82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709.26450000000011</v>
      </c>
      <c r="Q450" s="1">
        <f t="shared" si="31"/>
        <v>13476.025500000002</v>
      </c>
      <c r="R450" s="1" t="str">
        <f t="shared" si="32"/>
        <v>low</v>
      </c>
      <c r="S450" s="1" t="str" cm="1">
        <f t="array" ref="S450">_xlfn.IFS(L450&gt;5,"high",L450=5,"medium",L450&lt;5,"low")</f>
        <v>low</v>
      </c>
      <c r="T450" s="5" t="str">
        <f t="shared" si="33"/>
        <v>low</v>
      </c>
      <c r="U450" s="1">
        <f t="shared" si="34"/>
        <v>14931.88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35">O451*N451%</f>
        <v>3083.36</v>
      </c>
      <c r="Q451" s="1">
        <f t="shared" ref="Q451:Q501" si="36">O451-P451</f>
        <v>12333.439999999999</v>
      </c>
      <c r="R451" s="1" t="str">
        <f t="shared" ref="R451:R501" si="37">IF(L451&gt;=5,"high","low")</f>
        <v>high</v>
      </c>
      <c r="S451" s="1" t="str" cm="1">
        <f t="array" ref="S451">_xlfn.IFS(L451&gt;5,"high",L451=5,"medium",L451&lt;5,"low")</f>
        <v>high</v>
      </c>
      <c r="T451" s="5" t="str">
        <f t="shared" ref="T451:T501" si="38">IF(L451&gt;5,"high",IF(L451=5,"medium","low"))</f>
        <v>high</v>
      </c>
      <c r="U451" s="1">
        <f t="shared" ref="U451:U501" si="39">L451*M451</f>
        <v>19271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0</v>
      </c>
      <c r="Q452" s="1">
        <f t="shared" si="36"/>
        <v>9330.09</v>
      </c>
      <c r="R452" s="1" t="str">
        <f t="shared" si="37"/>
        <v>high</v>
      </c>
      <c r="S452" s="1" t="str" cm="1">
        <f t="array" ref="S452">_xlfn.IFS(L452&gt;5,"high",L452=5,"medium",L452&lt;5,"low")</f>
        <v>high</v>
      </c>
      <c r="T452" s="5" t="str">
        <f t="shared" si="38"/>
        <v>high</v>
      </c>
      <c r="U452" s="1">
        <f t="shared" si="39"/>
        <v>9330.09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74.792999999999992</v>
      </c>
      <c r="Q453" s="1">
        <f t="shared" si="36"/>
        <v>1421.067</v>
      </c>
      <c r="R453" s="1" t="str">
        <f t="shared" si="37"/>
        <v>low</v>
      </c>
      <c r="S453" s="1" t="str" cm="1">
        <f t="array" ref="S453">_xlfn.IFS(L453&gt;5,"high",L453=5,"medium",L453&lt;5,"low")</f>
        <v>low</v>
      </c>
      <c r="T453" s="5" t="str">
        <f t="shared" si="38"/>
        <v>low</v>
      </c>
      <c r="U453" s="1">
        <f t="shared" si="39"/>
        <v>1574.59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1736.0295000000001</v>
      </c>
      <c r="Q454" s="1">
        <f t="shared" si="36"/>
        <v>9837.5005000000001</v>
      </c>
      <c r="R454" s="1" t="str">
        <f t="shared" si="37"/>
        <v>high</v>
      </c>
      <c r="S454" s="1" t="str" cm="1">
        <f t="array" ref="S454">_xlfn.IFS(L454&gt;5,"high",L454=5,"medium",L454&lt;5,"low")</f>
        <v>high</v>
      </c>
      <c r="T454" s="5" t="str">
        <f t="shared" si="38"/>
        <v>high</v>
      </c>
      <c r="U454" s="1">
        <f t="shared" si="39"/>
        <v>13615.920000000002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4595.8460000000005</v>
      </c>
      <c r="Q455" s="1">
        <f t="shared" si="36"/>
        <v>18383.383999999998</v>
      </c>
      <c r="R455" s="1" t="str">
        <f t="shared" si="37"/>
        <v>high</v>
      </c>
      <c r="S455" s="1" t="str" cm="1">
        <f t="array" ref="S455">_xlfn.IFS(L455&gt;5,"high",L455=5,"medium",L455&lt;5,"low")</f>
        <v>high</v>
      </c>
      <c r="T455" s="5" t="str">
        <f t="shared" si="38"/>
        <v>high</v>
      </c>
      <c r="U455" s="1">
        <f t="shared" si="39"/>
        <v>28724.04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0</v>
      </c>
      <c r="Q456" s="1">
        <f t="shared" si="36"/>
        <v>2748.46</v>
      </c>
      <c r="R456" s="1" t="str">
        <f t="shared" si="37"/>
        <v>low</v>
      </c>
      <c r="S456" s="1" t="str" cm="1">
        <f t="array" ref="S456">_xlfn.IFS(L456&gt;5,"high",L456=5,"medium",L456&lt;5,"low")</f>
        <v>low</v>
      </c>
      <c r="T456" s="5" t="str">
        <f t="shared" si="38"/>
        <v>low</v>
      </c>
      <c r="U456" s="1">
        <f t="shared" si="39"/>
        <v>2748.46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643.12900000000002</v>
      </c>
      <c r="Q457" s="1">
        <f t="shared" si="36"/>
        <v>5788.1610000000001</v>
      </c>
      <c r="R457" s="1" t="str">
        <f t="shared" si="37"/>
        <v>low</v>
      </c>
      <c r="S457" s="1" t="str" cm="1">
        <f t="array" ref="S457">_xlfn.IFS(L457&gt;5,"high",L457=5,"medium",L457&lt;5,"low")</f>
        <v>low</v>
      </c>
      <c r="T457" s="5" t="str">
        <f t="shared" si="38"/>
        <v>low</v>
      </c>
      <c r="U457" s="1">
        <f t="shared" si="39"/>
        <v>7145.88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0</v>
      </c>
      <c r="Q458" s="1">
        <f t="shared" si="36"/>
        <v>7403.3</v>
      </c>
      <c r="R458" s="1" t="str">
        <f t="shared" si="37"/>
        <v>high</v>
      </c>
      <c r="S458" s="1" t="str" cm="1">
        <f t="array" ref="S458">_xlfn.IFS(L458&gt;5,"high",L458=5,"medium",L458&lt;5,"low")</f>
        <v>medium</v>
      </c>
      <c r="T458" s="5" t="str">
        <f t="shared" si="38"/>
        <v>medium</v>
      </c>
      <c r="U458" s="1">
        <f t="shared" si="39"/>
        <v>7403.3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2665.4750000000004</v>
      </c>
      <c r="Q459" s="1">
        <f t="shared" si="36"/>
        <v>23989.275000000001</v>
      </c>
      <c r="R459" s="1" t="str">
        <f t="shared" si="37"/>
        <v>high</v>
      </c>
      <c r="S459" s="1" t="str" cm="1">
        <f t="array" ref="S459">_xlfn.IFS(L459&gt;5,"high",L459=5,"medium",L459&lt;5,"low")</f>
        <v>high</v>
      </c>
      <c r="T459" s="5" t="str">
        <f t="shared" si="38"/>
        <v>high</v>
      </c>
      <c r="U459" s="1">
        <f t="shared" si="39"/>
        <v>29616.39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1246.0160000000001</v>
      </c>
      <c r="Q460" s="1">
        <f t="shared" si="36"/>
        <v>4984.0640000000003</v>
      </c>
      <c r="R460" s="1" t="str">
        <f t="shared" si="37"/>
        <v>low</v>
      </c>
      <c r="S460" s="1" t="str" cm="1">
        <f t="array" ref="S460">_xlfn.IFS(L460&gt;5,"high",L460=5,"medium",L460&lt;5,"low")</f>
        <v>low</v>
      </c>
      <c r="T460" s="5" t="str">
        <f t="shared" si="38"/>
        <v>low</v>
      </c>
      <c r="U460" s="1">
        <f t="shared" si="39"/>
        <v>7787.6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40.084000000000003</v>
      </c>
      <c r="Q461" s="1">
        <f t="shared" si="36"/>
        <v>360.75599999999997</v>
      </c>
      <c r="R461" s="1" t="str">
        <f t="shared" si="37"/>
        <v>low</v>
      </c>
      <c r="S461" s="1" t="str" cm="1">
        <f t="array" ref="S461">_xlfn.IFS(L461&gt;5,"high",L461=5,"medium",L461&lt;5,"low")</f>
        <v>low</v>
      </c>
      <c r="T461" s="5" t="str">
        <f t="shared" si="38"/>
        <v>low</v>
      </c>
      <c r="U461" s="1">
        <f t="shared" si="39"/>
        <v>445.38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402.54299999999995</v>
      </c>
      <c r="Q462" s="1">
        <f t="shared" si="36"/>
        <v>2281.0769999999998</v>
      </c>
      <c r="R462" s="1" t="str">
        <f t="shared" si="37"/>
        <v>low</v>
      </c>
      <c r="S462" s="1" t="str" cm="1">
        <f t="array" ref="S462">_xlfn.IFS(L462&gt;5,"high",L462=5,"medium",L462&lt;5,"low")</f>
        <v>low</v>
      </c>
      <c r="T462" s="5" t="str">
        <f t="shared" si="38"/>
        <v>low</v>
      </c>
      <c r="U462" s="1">
        <f t="shared" si="39"/>
        <v>3157.2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208.035</v>
      </c>
      <c r="Q463" s="1">
        <f t="shared" si="36"/>
        <v>1872.3149999999998</v>
      </c>
      <c r="R463" s="1" t="str">
        <f t="shared" si="37"/>
        <v>high</v>
      </c>
      <c r="S463" s="1" t="str" cm="1">
        <f t="array" ref="S463">_xlfn.IFS(L463&gt;5,"high",L463=5,"medium",L463&lt;5,"low")</f>
        <v>high</v>
      </c>
      <c r="T463" s="5" t="str">
        <f t="shared" si="38"/>
        <v>high</v>
      </c>
      <c r="U463" s="1">
        <f t="shared" si="39"/>
        <v>2311.5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1321.104</v>
      </c>
      <c r="Q464" s="1">
        <f t="shared" si="36"/>
        <v>7486.2560000000003</v>
      </c>
      <c r="R464" s="1" t="str">
        <f t="shared" si="37"/>
        <v>high</v>
      </c>
      <c r="S464" s="1" t="str" cm="1">
        <f t="array" ref="S464">_xlfn.IFS(L464&gt;5,"high",L464=5,"medium",L464&lt;5,"low")</f>
        <v>medium</v>
      </c>
      <c r="T464" s="5" t="str">
        <f t="shared" si="38"/>
        <v>medium</v>
      </c>
      <c r="U464" s="1">
        <f t="shared" si="39"/>
        <v>10361.6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89.504000000000005</v>
      </c>
      <c r="Q465" s="1">
        <f t="shared" si="36"/>
        <v>358.01599999999996</v>
      </c>
      <c r="R465" s="1" t="str">
        <f t="shared" si="37"/>
        <v>low</v>
      </c>
      <c r="S465" s="1" t="str" cm="1">
        <f t="array" ref="S465">_xlfn.IFS(L465&gt;5,"high",L465=5,"medium",L465&lt;5,"low")</f>
        <v>low</v>
      </c>
      <c r="T465" s="5" t="str">
        <f t="shared" si="38"/>
        <v>low</v>
      </c>
      <c r="U465" s="1">
        <f t="shared" si="39"/>
        <v>559.4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377.24200000000002</v>
      </c>
      <c r="Q466" s="1">
        <f t="shared" si="36"/>
        <v>1508.9680000000001</v>
      </c>
      <c r="R466" s="1" t="str">
        <f t="shared" si="37"/>
        <v>low</v>
      </c>
      <c r="S466" s="1" t="str" cm="1">
        <f t="array" ref="S466">_xlfn.IFS(L466&gt;5,"high",L466=5,"medium",L466&lt;5,"low")</f>
        <v>low</v>
      </c>
      <c r="T466" s="5" t="str">
        <f t="shared" si="38"/>
        <v>low</v>
      </c>
      <c r="U466" s="1">
        <f t="shared" si="39"/>
        <v>2357.7600000000002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0</v>
      </c>
      <c r="Q467" s="1">
        <f t="shared" si="36"/>
        <v>22638.240000000002</v>
      </c>
      <c r="R467" s="1" t="str">
        <f t="shared" si="37"/>
        <v>high</v>
      </c>
      <c r="S467" s="1" t="str" cm="1">
        <f t="array" ref="S467">_xlfn.IFS(L467&gt;5,"high",L467=5,"medium",L467&lt;5,"low")</f>
        <v>high</v>
      </c>
      <c r="T467" s="5" t="str">
        <f t="shared" si="38"/>
        <v>high</v>
      </c>
      <c r="U467" s="1">
        <f t="shared" si="39"/>
        <v>22638.239999999998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1789.9574999999998</v>
      </c>
      <c r="Q468" s="1">
        <f t="shared" si="36"/>
        <v>10143.092499999999</v>
      </c>
      <c r="R468" s="1" t="str">
        <f t="shared" si="37"/>
        <v>low</v>
      </c>
      <c r="S468" s="1" t="str" cm="1">
        <f t="array" ref="S468">_xlfn.IFS(L468&gt;5,"high",L468=5,"medium",L468&lt;5,"low")</f>
        <v>low</v>
      </c>
      <c r="T468" s="5" t="str">
        <f t="shared" si="38"/>
        <v>low</v>
      </c>
      <c r="U468" s="1">
        <f t="shared" si="39"/>
        <v>14038.88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2169.3824999999997</v>
      </c>
      <c r="Q469" s="1">
        <f t="shared" si="36"/>
        <v>12293.1675</v>
      </c>
      <c r="R469" s="1" t="str">
        <f t="shared" si="37"/>
        <v>high</v>
      </c>
      <c r="S469" s="1" t="str" cm="1">
        <f t="array" ref="S469">_xlfn.IFS(L469&gt;5,"high",L469=5,"medium",L469&lt;5,"low")</f>
        <v>high</v>
      </c>
      <c r="T469" s="5" t="str">
        <f t="shared" si="38"/>
        <v>high</v>
      </c>
      <c r="U469" s="1">
        <f t="shared" si="39"/>
        <v>17014.77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937.02050000000008</v>
      </c>
      <c r="Q470" s="1">
        <f t="shared" si="36"/>
        <v>17803.389500000001</v>
      </c>
      <c r="R470" s="1" t="str">
        <f t="shared" si="37"/>
        <v>high</v>
      </c>
      <c r="S470" s="1" t="str" cm="1">
        <f t="array" ref="S470">_xlfn.IFS(L470&gt;5,"high",L470=5,"medium",L470&lt;5,"low")</f>
        <v>medium</v>
      </c>
      <c r="T470" s="5" t="str">
        <f t="shared" si="38"/>
        <v>medium</v>
      </c>
      <c r="U470" s="1">
        <f t="shared" si="39"/>
        <v>19726.75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57.273500000000006</v>
      </c>
      <c r="Q471" s="1">
        <f t="shared" si="36"/>
        <v>1088.1965</v>
      </c>
      <c r="R471" s="1" t="str">
        <f t="shared" si="37"/>
        <v>high</v>
      </c>
      <c r="S471" s="1" t="str" cm="1">
        <f t="array" ref="S471">_xlfn.IFS(L471&gt;5,"high",L471=5,"medium",L471&lt;5,"low")</f>
        <v>high</v>
      </c>
      <c r="T471" s="5" t="str">
        <f t="shared" si="38"/>
        <v>high</v>
      </c>
      <c r="U471" s="1">
        <f t="shared" si="39"/>
        <v>1205.76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1074.6580000000001</v>
      </c>
      <c r="Q472" s="1">
        <f t="shared" si="36"/>
        <v>20418.502</v>
      </c>
      <c r="R472" s="1" t="str">
        <f t="shared" si="37"/>
        <v>high</v>
      </c>
      <c r="S472" s="1" t="str" cm="1">
        <f t="array" ref="S472">_xlfn.IFS(L472&gt;5,"high",L472=5,"medium",L472&lt;5,"low")</f>
        <v>high</v>
      </c>
      <c r="T472" s="5" t="str">
        <f t="shared" si="38"/>
        <v>high</v>
      </c>
      <c r="U472" s="1">
        <f t="shared" si="39"/>
        <v>22624.38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1135.463</v>
      </c>
      <c r="Q473" s="1">
        <f t="shared" si="36"/>
        <v>10219.166999999999</v>
      </c>
      <c r="R473" s="1" t="str">
        <f t="shared" si="37"/>
        <v>high</v>
      </c>
      <c r="S473" s="1" t="str" cm="1">
        <f t="array" ref="S473">_xlfn.IFS(L473&gt;5,"high",L473=5,"medium",L473&lt;5,"low")</f>
        <v>medium</v>
      </c>
      <c r="T473" s="5" t="str">
        <f t="shared" si="38"/>
        <v>medium</v>
      </c>
      <c r="U473" s="1">
        <f t="shared" si="39"/>
        <v>12616.25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544.68050000000005</v>
      </c>
      <c r="Q474" s="1">
        <f t="shared" si="36"/>
        <v>10348.9295</v>
      </c>
      <c r="R474" s="1" t="str">
        <f t="shared" si="37"/>
        <v>high</v>
      </c>
      <c r="S474" s="1" t="str" cm="1">
        <f t="array" ref="S474">_xlfn.IFS(L474&gt;5,"high",L474=5,"medium",L474&lt;5,"low")</f>
        <v>high</v>
      </c>
      <c r="T474" s="5" t="str">
        <f t="shared" si="38"/>
        <v>high</v>
      </c>
      <c r="U474" s="1">
        <f t="shared" si="39"/>
        <v>11466.960000000001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213.97649999999999</v>
      </c>
      <c r="Q475" s="1">
        <f t="shared" si="36"/>
        <v>1212.5335</v>
      </c>
      <c r="R475" s="1" t="str">
        <f t="shared" si="37"/>
        <v>low</v>
      </c>
      <c r="S475" s="1" t="str" cm="1">
        <f t="array" ref="S475">_xlfn.IFS(L475&gt;5,"high",L475=5,"medium",L475&lt;5,"low")</f>
        <v>low</v>
      </c>
      <c r="T475" s="5" t="str">
        <f t="shared" si="38"/>
        <v>low</v>
      </c>
      <c r="U475" s="1">
        <f t="shared" si="39"/>
        <v>1678.25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1199.0350000000001</v>
      </c>
      <c r="Q476" s="1">
        <f t="shared" si="36"/>
        <v>10791.315000000001</v>
      </c>
      <c r="R476" s="1" t="str">
        <f t="shared" si="37"/>
        <v>high</v>
      </c>
      <c r="S476" s="1" t="str" cm="1">
        <f t="array" ref="S476">_xlfn.IFS(L476&gt;5,"high",L476=5,"medium",L476&lt;5,"low")</f>
        <v>high</v>
      </c>
      <c r="T476" s="5" t="str">
        <f t="shared" si="38"/>
        <v>high</v>
      </c>
      <c r="U476" s="1">
        <f t="shared" si="39"/>
        <v>13322.61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1118.4639999999999</v>
      </c>
      <c r="Q477" s="1">
        <f t="shared" si="36"/>
        <v>4473.8559999999998</v>
      </c>
      <c r="R477" s="1" t="str">
        <f t="shared" si="37"/>
        <v>low</v>
      </c>
      <c r="S477" s="1" t="str" cm="1">
        <f t="array" ref="S477">_xlfn.IFS(L477&gt;5,"high",L477=5,"medium",L477&lt;5,"low")</f>
        <v>low</v>
      </c>
      <c r="T477" s="5" t="str">
        <f t="shared" si="38"/>
        <v>low</v>
      </c>
      <c r="U477" s="1">
        <f t="shared" si="39"/>
        <v>6990.4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0</v>
      </c>
      <c r="Q478" s="1">
        <f t="shared" si="36"/>
        <v>5924.8</v>
      </c>
      <c r="R478" s="1" t="str">
        <f t="shared" si="37"/>
        <v>low</v>
      </c>
      <c r="S478" s="1" t="str" cm="1">
        <f t="array" ref="S478">_xlfn.IFS(L478&gt;5,"high",L478=5,"medium",L478&lt;5,"low")</f>
        <v>low</v>
      </c>
      <c r="T478" s="5" t="str">
        <f t="shared" si="38"/>
        <v>low</v>
      </c>
      <c r="U478" s="1">
        <f t="shared" si="39"/>
        <v>5924.8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159.39100000000002</v>
      </c>
      <c r="Q479" s="1">
        <f t="shared" si="36"/>
        <v>3028.4290000000001</v>
      </c>
      <c r="R479" s="1" t="str">
        <f t="shared" si="37"/>
        <v>high</v>
      </c>
      <c r="S479" s="1" t="str" cm="1">
        <f t="array" ref="S479">_xlfn.IFS(L479&gt;5,"high",L479=5,"medium",L479&lt;5,"low")</f>
        <v>medium</v>
      </c>
      <c r="T479" s="5" t="str">
        <f t="shared" si="38"/>
        <v>medium</v>
      </c>
      <c r="U479" s="1">
        <f t="shared" si="39"/>
        <v>3355.6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437.23599999999999</v>
      </c>
      <c r="Q480" s="1">
        <f t="shared" si="36"/>
        <v>1748.944</v>
      </c>
      <c r="R480" s="1" t="str">
        <f t="shared" si="37"/>
        <v>low</v>
      </c>
      <c r="S480" s="1" t="str" cm="1">
        <f t="array" ref="S480">_xlfn.IFS(L480&gt;5,"high",L480=5,"medium",L480&lt;5,"low")</f>
        <v>low</v>
      </c>
      <c r="T480" s="5" t="str">
        <f t="shared" si="38"/>
        <v>low</v>
      </c>
      <c r="U480" s="1">
        <f t="shared" si="39"/>
        <v>2732.73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646.42499999999995</v>
      </c>
      <c r="Q481" s="1">
        <f t="shared" si="36"/>
        <v>3663.0749999999998</v>
      </c>
      <c r="R481" s="1" t="str">
        <f t="shared" si="37"/>
        <v>high</v>
      </c>
      <c r="S481" s="1" t="str" cm="1">
        <f t="array" ref="S481">_xlfn.IFS(L481&gt;5,"high",L481=5,"medium",L481&lt;5,"low")</f>
        <v>high</v>
      </c>
      <c r="T481" s="5" t="str">
        <f t="shared" si="38"/>
        <v>high</v>
      </c>
      <c r="U481" s="1">
        <f t="shared" si="39"/>
        <v>5070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0</v>
      </c>
      <c r="Q482" s="1">
        <f t="shared" si="36"/>
        <v>9284.08</v>
      </c>
      <c r="R482" s="1" t="str">
        <f t="shared" si="37"/>
        <v>high</v>
      </c>
      <c r="S482" s="1" t="str" cm="1">
        <f t="array" ref="S482">_xlfn.IFS(L482&gt;5,"high",L482=5,"medium",L482&lt;5,"low")</f>
        <v>high</v>
      </c>
      <c r="T482" s="5" t="str">
        <f t="shared" si="38"/>
        <v>high</v>
      </c>
      <c r="U482" s="1">
        <f t="shared" si="39"/>
        <v>9284.08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2432.9080000000004</v>
      </c>
      <c r="Q483" s="1">
        <f t="shared" si="36"/>
        <v>9731.6320000000014</v>
      </c>
      <c r="R483" s="1" t="str">
        <f t="shared" si="37"/>
        <v>high</v>
      </c>
      <c r="S483" s="1" t="str" cm="1">
        <f t="array" ref="S483">_xlfn.IFS(L483&gt;5,"high",L483=5,"medium",L483&lt;5,"low")</f>
        <v>high</v>
      </c>
      <c r="T483" s="5" t="str">
        <f t="shared" si="38"/>
        <v>high</v>
      </c>
      <c r="U483" s="1">
        <f t="shared" si="39"/>
        <v>15205.679999999998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0</v>
      </c>
      <c r="Q484" s="1">
        <f t="shared" si="36"/>
        <v>1734.45</v>
      </c>
      <c r="R484" s="1" t="str">
        <f t="shared" si="37"/>
        <v>low</v>
      </c>
      <c r="S484" s="1" t="str" cm="1">
        <f t="array" ref="S484">_xlfn.IFS(L484&gt;5,"high",L484=5,"medium",L484&lt;5,"low")</f>
        <v>low</v>
      </c>
      <c r="T484" s="5" t="str">
        <f t="shared" si="38"/>
        <v>low</v>
      </c>
      <c r="U484" s="1">
        <f t="shared" si="39"/>
        <v>1734.4499999999998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1327.1310000000001</v>
      </c>
      <c r="Q485" s="1">
        <f t="shared" si="36"/>
        <v>25215.488999999998</v>
      </c>
      <c r="R485" s="1" t="str">
        <f t="shared" si="37"/>
        <v>high</v>
      </c>
      <c r="S485" s="1" t="str" cm="1">
        <f t="array" ref="S485">_xlfn.IFS(L485&gt;5,"high",L485=5,"medium",L485&lt;5,"low")</f>
        <v>high</v>
      </c>
      <c r="T485" s="5" t="str">
        <f t="shared" si="38"/>
        <v>high</v>
      </c>
      <c r="U485" s="1">
        <f t="shared" si="39"/>
        <v>27939.599999999999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330.18450000000001</v>
      </c>
      <c r="Q486" s="1">
        <f t="shared" si="36"/>
        <v>1871.0454999999999</v>
      </c>
      <c r="R486" s="1" t="str">
        <f t="shared" si="37"/>
        <v>low</v>
      </c>
      <c r="S486" s="1" t="str" cm="1">
        <f t="array" ref="S486">_xlfn.IFS(L486&gt;5,"high",L486=5,"medium",L486&lt;5,"low")</f>
        <v>low</v>
      </c>
      <c r="T486" s="5" t="str">
        <f t="shared" si="38"/>
        <v>low</v>
      </c>
      <c r="U486" s="1">
        <f t="shared" si="39"/>
        <v>2589.6799999999998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0</v>
      </c>
      <c r="Q487" s="1">
        <f t="shared" si="36"/>
        <v>6981.93</v>
      </c>
      <c r="R487" s="1" t="str">
        <f t="shared" si="37"/>
        <v>high</v>
      </c>
      <c r="S487" s="1" t="str" cm="1">
        <f t="array" ref="S487">_xlfn.IFS(L487&gt;5,"high",L487=5,"medium",L487&lt;5,"low")</f>
        <v>high</v>
      </c>
      <c r="T487" s="5" t="str">
        <f t="shared" si="38"/>
        <v>high</v>
      </c>
      <c r="U487" s="1">
        <f t="shared" si="39"/>
        <v>6981.93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1760.73</v>
      </c>
      <c r="Q488" s="1">
        <f t="shared" si="36"/>
        <v>7042.92</v>
      </c>
      <c r="R488" s="1" t="str">
        <f t="shared" si="37"/>
        <v>low</v>
      </c>
      <c r="S488" s="1" t="str" cm="1">
        <f t="array" ref="S488">_xlfn.IFS(L488&gt;5,"high",L488=5,"medium",L488&lt;5,"low")</f>
        <v>low</v>
      </c>
      <c r="T488" s="5" t="str">
        <f t="shared" si="38"/>
        <v>low</v>
      </c>
      <c r="U488" s="1">
        <f t="shared" si="39"/>
        <v>11004.56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14.090000000000002</v>
      </c>
      <c r="Q489" s="1">
        <f t="shared" si="36"/>
        <v>267.71000000000004</v>
      </c>
      <c r="R489" s="1" t="str">
        <f t="shared" si="37"/>
        <v>low</v>
      </c>
      <c r="S489" s="1" t="str" cm="1">
        <f t="array" ref="S489">_xlfn.IFS(L489&gt;5,"high",L489=5,"medium",L489&lt;5,"low")</f>
        <v>low</v>
      </c>
      <c r="T489" s="5" t="str">
        <f t="shared" si="38"/>
        <v>low</v>
      </c>
      <c r="U489" s="1">
        <f t="shared" si="39"/>
        <v>296.63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964.01450000000011</v>
      </c>
      <c r="Q490" s="1">
        <f t="shared" si="36"/>
        <v>18316.2755</v>
      </c>
      <c r="R490" s="1" t="str">
        <f t="shared" si="37"/>
        <v>high</v>
      </c>
      <c r="S490" s="1" t="str" cm="1">
        <f t="array" ref="S490">_xlfn.IFS(L490&gt;5,"high",L490=5,"medium",L490&lt;5,"low")</f>
        <v>high</v>
      </c>
      <c r="T490" s="5" t="str">
        <f t="shared" si="38"/>
        <v>high</v>
      </c>
      <c r="U490" s="1">
        <f t="shared" si="39"/>
        <v>20295.04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3178.6280000000002</v>
      </c>
      <c r="Q491" s="1">
        <f t="shared" si="36"/>
        <v>12714.511999999999</v>
      </c>
      <c r="R491" s="1" t="str">
        <f t="shared" si="37"/>
        <v>high</v>
      </c>
      <c r="S491" s="1" t="str" cm="1">
        <f t="array" ref="S491">_xlfn.IFS(L491&gt;5,"high",L491=5,"medium",L491&lt;5,"low")</f>
        <v>high</v>
      </c>
      <c r="T491" s="5" t="str">
        <f t="shared" si="38"/>
        <v>high</v>
      </c>
      <c r="U491" s="1">
        <f t="shared" si="39"/>
        <v>19866.419999999998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781.94399999999996</v>
      </c>
      <c r="Q492" s="1">
        <f t="shared" si="36"/>
        <v>3127.7759999999998</v>
      </c>
      <c r="R492" s="1" t="str">
        <f t="shared" si="37"/>
        <v>high</v>
      </c>
      <c r="S492" s="1" t="str" cm="1">
        <f t="array" ref="S492">_xlfn.IFS(L492&gt;5,"high",L492=5,"medium",L492&lt;5,"low")</f>
        <v>medium</v>
      </c>
      <c r="T492" s="5" t="str">
        <f t="shared" si="38"/>
        <v>medium</v>
      </c>
      <c r="U492" s="1">
        <f t="shared" si="39"/>
        <v>4887.1499999999996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0</v>
      </c>
      <c r="Q493" s="1">
        <f t="shared" si="36"/>
        <v>1557.8</v>
      </c>
      <c r="R493" s="1" t="str">
        <f t="shared" si="37"/>
        <v>high</v>
      </c>
      <c r="S493" s="1" t="str" cm="1">
        <f t="array" ref="S493">_xlfn.IFS(L493&gt;5,"high",L493=5,"medium",L493&lt;5,"low")</f>
        <v>medium</v>
      </c>
      <c r="T493" s="5" t="str">
        <f t="shared" si="38"/>
        <v>medium</v>
      </c>
      <c r="U493" s="1">
        <f t="shared" si="39"/>
        <v>1557.8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976.51900000000012</v>
      </c>
      <c r="Q494" s="1">
        <f t="shared" si="36"/>
        <v>8788.6710000000003</v>
      </c>
      <c r="R494" s="1" t="str">
        <f t="shared" si="37"/>
        <v>high</v>
      </c>
      <c r="S494" s="1" t="str" cm="1">
        <f t="array" ref="S494">_xlfn.IFS(L494&gt;5,"high",L494=5,"medium",L494&lt;5,"low")</f>
        <v>high</v>
      </c>
      <c r="T494" s="5" t="str">
        <f t="shared" si="38"/>
        <v>high</v>
      </c>
      <c r="U494" s="1">
        <f t="shared" si="39"/>
        <v>10850.21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125.77750000000002</v>
      </c>
      <c r="Q495" s="1">
        <f t="shared" si="36"/>
        <v>2389.7725</v>
      </c>
      <c r="R495" s="1" t="str">
        <f t="shared" si="37"/>
        <v>high</v>
      </c>
      <c r="S495" s="1" t="str" cm="1">
        <f t="array" ref="S495">_xlfn.IFS(L495&gt;5,"high",L495=5,"medium",L495&lt;5,"low")</f>
        <v>medium</v>
      </c>
      <c r="T495" s="5" t="str">
        <f t="shared" si="38"/>
        <v>medium</v>
      </c>
      <c r="U495" s="1">
        <f t="shared" si="39"/>
        <v>2647.9500000000003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0</v>
      </c>
      <c r="Q496" s="1">
        <f t="shared" si="36"/>
        <v>4787.5200000000004</v>
      </c>
      <c r="R496" s="1" t="str">
        <f t="shared" si="37"/>
        <v>high</v>
      </c>
      <c r="S496" s="1" t="str" cm="1">
        <f t="array" ref="S496">_xlfn.IFS(L496&gt;5,"high",L496=5,"medium",L496&lt;5,"low")</f>
        <v>high</v>
      </c>
      <c r="T496" s="5" t="str">
        <f t="shared" si="38"/>
        <v>high</v>
      </c>
      <c r="U496" s="1">
        <f t="shared" si="39"/>
        <v>4787.5200000000004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1083.7540000000001</v>
      </c>
      <c r="Q497" s="1">
        <f t="shared" si="36"/>
        <v>4335.0160000000005</v>
      </c>
      <c r="R497" s="1" t="str">
        <f t="shared" si="37"/>
        <v>high</v>
      </c>
      <c r="S497" s="1" t="str" cm="1">
        <f t="array" ref="S497">_xlfn.IFS(L497&gt;5,"high",L497=5,"medium",L497&lt;5,"low")</f>
        <v>high</v>
      </c>
      <c r="T497" s="5" t="str">
        <f t="shared" si="38"/>
        <v>high</v>
      </c>
      <c r="U497" s="1">
        <f t="shared" si="39"/>
        <v>6773.4600000000009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0</v>
      </c>
      <c r="Q498" s="1">
        <f t="shared" si="36"/>
        <v>6437.75</v>
      </c>
      <c r="R498" s="1" t="str">
        <f t="shared" si="37"/>
        <v>high</v>
      </c>
      <c r="S498" s="1" t="str" cm="1">
        <f t="array" ref="S498">_xlfn.IFS(L498&gt;5,"high",L498=5,"medium",L498&lt;5,"low")</f>
        <v>medium</v>
      </c>
      <c r="T498" s="5" t="str">
        <f t="shared" si="38"/>
        <v>medium</v>
      </c>
      <c r="U498" s="1">
        <f t="shared" si="39"/>
        <v>6437.75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3154.1620000000003</v>
      </c>
      <c r="Q499" s="1">
        <f t="shared" si="36"/>
        <v>12616.647999999999</v>
      </c>
      <c r="R499" s="1" t="str">
        <f t="shared" si="37"/>
        <v>high</v>
      </c>
      <c r="S499" s="1" t="str" cm="1">
        <f t="array" ref="S499">_xlfn.IFS(L499&gt;5,"high",L499=5,"medium",L499&lt;5,"low")</f>
        <v>high</v>
      </c>
      <c r="T499" s="5" t="str">
        <f t="shared" si="38"/>
        <v>high</v>
      </c>
      <c r="U499" s="1">
        <f t="shared" si="39"/>
        <v>19713.509999999998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704.26199999999994</v>
      </c>
      <c r="Q500" s="1">
        <f t="shared" si="36"/>
        <v>3990.8180000000002</v>
      </c>
      <c r="R500" s="1" t="str">
        <f t="shared" si="37"/>
        <v>low</v>
      </c>
      <c r="S500" s="1" t="str" cm="1">
        <f t="array" ref="S500">_xlfn.IFS(L500&gt;5,"high",L500=5,"medium",L500&lt;5,"low")</f>
        <v>low</v>
      </c>
      <c r="T500" s="5" t="str">
        <f t="shared" si="38"/>
        <v>low</v>
      </c>
      <c r="U500" s="1">
        <f t="shared" si="39"/>
        <v>5523.62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35"/>
        <v>389.14800000000002</v>
      </c>
      <c r="Q501" s="1">
        <f t="shared" si="36"/>
        <v>1556.5920000000001</v>
      </c>
      <c r="R501" s="1" t="str">
        <f t="shared" si="37"/>
        <v>low</v>
      </c>
      <c r="S501" s="1" t="str" cm="1">
        <f t="array" ref="S501">_xlfn.IFS(L501&gt;5,"high",L501=5,"medium",L501&lt;5,"low")</f>
        <v>low</v>
      </c>
      <c r="T501" s="5" t="str">
        <f t="shared" si="38"/>
        <v>low</v>
      </c>
      <c r="U501" s="1">
        <f t="shared" si="39"/>
        <v>2432.17</v>
      </c>
    </row>
    <row r="502" spans="1:21" x14ac:dyDescent="0.3">
      <c r="U502" s="1">
        <f>SUM(U1:U501)</f>
        <v>5134263.8099999949</v>
      </c>
    </row>
  </sheetData>
  <dataValidations count="3">
    <dataValidation type="list" allowBlank="1" showInputMessage="1" showErrorMessage="1" sqref="W16 W23" xr:uid="{E8BE93B0-D1DC-4299-A642-6CBD0365E02E}">
      <formula1>$AF$2:$AF$13</formula1>
    </dataValidation>
    <dataValidation type="list" allowBlank="1" showInputMessage="1" showErrorMessage="1" sqref="X6 X16 X10 X12 X20 X23 W26" xr:uid="{FF2C1819-891D-4D4B-BF12-F7959DBF3436}">
      <formula1>$AE$2:$AE$6</formula1>
    </dataValidation>
    <dataValidation type="list" allowBlank="1" showInputMessage="1" showErrorMessage="1" sqref="X26" xr:uid="{45731BDB-28B5-4CB9-B11E-8919FEA793B0}">
      <formula1>$AG$2:$AG$11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9BF4-829A-4A8A-8308-3DD4CA7F90A4}">
  <dimension ref="A1:X26"/>
  <sheetViews>
    <sheetView topLeftCell="P1" workbookViewId="0">
      <selection activeCell="V10" sqref="V10"/>
    </sheetView>
  </sheetViews>
  <sheetFormatPr defaultRowHeight="14.4" x14ac:dyDescent="0.3"/>
  <cols>
    <col min="19" max="19" width="9.6640625" bestFit="1" customWidth="1"/>
    <col min="20" max="20" width="9.33203125" bestFit="1" customWidth="1"/>
    <col min="21" max="21" width="11.33203125" bestFit="1" customWidth="1"/>
    <col min="23" max="23" width="11.33203125" bestFit="1" customWidth="1"/>
    <col min="24" max="24" width="9.6640625" bestFit="1" customWidth="1"/>
  </cols>
  <sheetData>
    <row r="1" spans="1:24" x14ac:dyDescent="0.3">
      <c r="A1" s="3" t="s">
        <v>91</v>
      </c>
      <c r="B1" s="3" t="s">
        <v>96</v>
      </c>
      <c r="C1" s="3" t="s">
        <v>101</v>
      </c>
      <c r="E1" s="3" t="s">
        <v>91</v>
      </c>
      <c r="F1" s="3" t="s">
        <v>96</v>
      </c>
      <c r="G1" s="3" t="s">
        <v>101</v>
      </c>
      <c r="I1" s="19" t="s">
        <v>106</v>
      </c>
      <c r="J1" s="19" t="s">
        <v>113</v>
      </c>
      <c r="K1">
        <v>1</v>
      </c>
      <c r="N1" t="s">
        <v>125</v>
      </c>
      <c r="P1" t="s">
        <v>94</v>
      </c>
      <c r="Q1" t="s">
        <v>131</v>
      </c>
    </row>
    <row r="2" spans="1:24" x14ac:dyDescent="0.3">
      <c r="A2" s="1" t="s">
        <v>92</v>
      </c>
      <c r="B2" s="1" t="s">
        <v>97</v>
      </c>
      <c r="C2" s="1" t="s">
        <v>102</v>
      </c>
      <c r="E2" s="1" t="s">
        <v>92</v>
      </c>
      <c r="F2" s="1" t="s">
        <v>97</v>
      </c>
      <c r="G2" s="1" t="s">
        <v>102</v>
      </c>
      <c r="I2" s="19" t="s">
        <v>107</v>
      </c>
      <c r="J2" s="19" t="s">
        <v>114</v>
      </c>
      <c r="K2">
        <v>2</v>
      </c>
      <c r="N2" t="s">
        <v>126</v>
      </c>
      <c r="P2" t="s">
        <v>93</v>
      </c>
      <c r="Q2" t="s">
        <v>93</v>
      </c>
      <c r="S2" t="s">
        <v>138</v>
      </c>
      <c r="T2" t="s">
        <v>139</v>
      </c>
      <c r="U2" t="s">
        <v>141</v>
      </c>
      <c r="W2" t="s">
        <v>137</v>
      </c>
      <c r="X2" t="s">
        <v>136</v>
      </c>
    </row>
    <row r="3" spans="1:24" x14ac:dyDescent="0.3">
      <c r="A3" s="1" t="s">
        <v>93</v>
      </c>
      <c r="B3" s="1" t="s">
        <v>98</v>
      </c>
      <c r="C3" s="1" t="s">
        <v>103</v>
      </c>
      <c r="E3" s="1" t="s">
        <v>93</v>
      </c>
      <c r="F3" s="1" t="s">
        <v>98</v>
      </c>
      <c r="G3" s="1" t="s">
        <v>103</v>
      </c>
      <c r="I3" s="19" t="s">
        <v>108</v>
      </c>
      <c r="J3" s="19" t="s">
        <v>115</v>
      </c>
      <c r="K3">
        <v>3</v>
      </c>
      <c r="N3" t="s">
        <v>127</v>
      </c>
      <c r="P3" t="s">
        <v>95</v>
      </c>
      <c r="Q3" t="s">
        <v>95</v>
      </c>
      <c r="S3" t="s">
        <v>131</v>
      </c>
      <c r="T3" t="s">
        <v>140</v>
      </c>
      <c r="U3" t="s">
        <v>142</v>
      </c>
      <c r="W3" t="s">
        <v>132</v>
      </c>
      <c r="X3">
        <v>231</v>
      </c>
    </row>
    <row r="4" spans="1:24" x14ac:dyDescent="0.3">
      <c r="A4" s="1" t="s">
        <v>94</v>
      </c>
      <c r="B4" s="1" t="s">
        <v>99</v>
      </c>
      <c r="C4" s="1" t="s">
        <v>104</v>
      </c>
      <c r="E4" s="1" t="s">
        <v>94</v>
      </c>
      <c r="F4" s="1" t="s">
        <v>99</v>
      </c>
      <c r="G4" s="1" t="s">
        <v>104</v>
      </c>
      <c r="I4" s="19" t="s">
        <v>109</v>
      </c>
      <c r="J4" s="19" t="s">
        <v>116</v>
      </c>
      <c r="K4">
        <v>4</v>
      </c>
      <c r="N4" t="s">
        <v>128</v>
      </c>
      <c r="P4" t="s">
        <v>129</v>
      </c>
      <c r="Q4" t="s">
        <v>129</v>
      </c>
      <c r="S4" t="s">
        <v>93</v>
      </c>
      <c r="T4" t="s">
        <v>140</v>
      </c>
      <c r="U4" t="s">
        <v>143</v>
      </c>
      <c r="W4" t="s">
        <v>133</v>
      </c>
      <c r="X4">
        <v>781</v>
      </c>
    </row>
    <row r="5" spans="1:24" x14ac:dyDescent="0.3">
      <c r="A5" s="1" t="s">
        <v>95</v>
      </c>
      <c r="B5" s="1" t="s">
        <v>100</v>
      </c>
      <c r="C5" s="1" t="s">
        <v>105</v>
      </c>
      <c r="E5" s="1" t="s">
        <v>95</v>
      </c>
      <c r="F5" s="1" t="s">
        <v>100</v>
      </c>
      <c r="G5" s="1" t="s">
        <v>105</v>
      </c>
      <c r="I5" s="19" t="s">
        <v>110</v>
      </c>
      <c r="J5" s="19" t="s">
        <v>117</v>
      </c>
      <c r="K5">
        <v>5</v>
      </c>
      <c r="P5" t="s">
        <v>130</v>
      </c>
      <c r="Q5" t="s">
        <v>130</v>
      </c>
      <c r="S5" t="s">
        <v>95</v>
      </c>
      <c r="T5" t="s">
        <v>140</v>
      </c>
      <c r="U5" t="s">
        <v>144</v>
      </c>
      <c r="W5" t="s">
        <v>134</v>
      </c>
      <c r="X5">
        <v>988</v>
      </c>
    </row>
    <row r="6" spans="1:24" x14ac:dyDescent="0.3">
      <c r="I6" s="19" t="s">
        <v>111</v>
      </c>
      <c r="J6" s="19" t="s">
        <v>118</v>
      </c>
      <c r="K6">
        <v>6</v>
      </c>
      <c r="S6" t="s">
        <v>129</v>
      </c>
      <c r="T6" t="s">
        <v>140</v>
      </c>
      <c r="U6" t="s">
        <v>145</v>
      </c>
      <c r="W6" t="s">
        <v>135</v>
      </c>
      <c r="X6">
        <v>900</v>
      </c>
    </row>
    <row r="7" spans="1:24" x14ac:dyDescent="0.3">
      <c r="A7" t="s">
        <v>91</v>
      </c>
      <c r="B7" t="s">
        <v>96</v>
      </c>
      <c r="C7" t="s">
        <v>101</v>
      </c>
      <c r="E7">
        <v>87</v>
      </c>
      <c r="F7">
        <v>89</v>
      </c>
      <c r="I7" s="19" t="s">
        <v>112</v>
      </c>
      <c r="J7" s="19" t="s">
        <v>119</v>
      </c>
      <c r="K7">
        <v>7</v>
      </c>
      <c r="S7" t="s">
        <v>130</v>
      </c>
      <c r="T7" t="s">
        <v>140</v>
      </c>
      <c r="U7" t="s">
        <v>146</v>
      </c>
    </row>
    <row r="8" spans="1:24" x14ac:dyDescent="0.3">
      <c r="A8" t="s">
        <v>92</v>
      </c>
      <c r="B8" t="s">
        <v>97</v>
      </c>
      <c r="C8" t="s">
        <v>102</v>
      </c>
      <c r="E8">
        <v>88</v>
      </c>
      <c r="F8">
        <v>91</v>
      </c>
      <c r="I8" s="19"/>
      <c r="J8" s="19" t="s">
        <v>120</v>
      </c>
      <c r="K8">
        <v>8</v>
      </c>
    </row>
    <row r="9" spans="1:24" x14ac:dyDescent="0.3">
      <c r="A9" t="s">
        <v>93</v>
      </c>
      <c r="B9" t="s">
        <v>98</v>
      </c>
      <c r="C9" t="s">
        <v>103</v>
      </c>
      <c r="E9">
        <v>89</v>
      </c>
      <c r="F9">
        <v>93</v>
      </c>
      <c r="J9" s="19" t="s">
        <v>121</v>
      </c>
      <c r="K9">
        <v>9</v>
      </c>
    </row>
    <row r="10" spans="1:24" x14ac:dyDescent="0.3">
      <c r="A10" t="s">
        <v>94</v>
      </c>
      <c r="B10" t="s">
        <v>99</v>
      </c>
      <c r="C10" t="s">
        <v>104</v>
      </c>
      <c r="E10">
        <v>90</v>
      </c>
      <c r="F10">
        <v>95</v>
      </c>
      <c r="J10" s="19" t="s">
        <v>122</v>
      </c>
      <c r="K10">
        <v>10</v>
      </c>
    </row>
    <row r="11" spans="1:24" x14ac:dyDescent="0.3">
      <c r="A11" t="s">
        <v>95</v>
      </c>
      <c r="B11" t="s">
        <v>100</v>
      </c>
      <c r="C11" t="s">
        <v>105</v>
      </c>
      <c r="J11" s="19" t="s">
        <v>123</v>
      </c>
      <c r="K11">
        <v>11</v>
      </c>
    </row>
    <row r="12" spans="1:24" x14ac:dyDescent="0.3">
      <c r="J12" s="19" t="s">
        <v>124</v>
      </c>
      <c r="K12">
        <v>12</v>
      </c>
    </row>
    <row r="13" spans="1:24" x14ac:dyDescent="0.3">
      <c r="J13" s="19"/>
    </row>
    <row r="18" spans="10:15" x14ac:dyDescent="0.3">
      <c r="J18">
        <v>1</v>
      </c>
      <c r="K18">
        <v>2</v>
      </c>
      <c r="L18">
        <v>3</v>
      </c>
      <c r="M18">
        <v>4</v>
      </c>
      <c r="N18">
        <v>5</v>
      </c>
      <c r="O18">
        <v>6</v>
      </c>
    </row>
    <row r="19" spans="10:15" x14ac:dyDescent="0.3">
      <c r="J19">
        <v>1</v>
      </c>
      <c r="K19">
        <v>2</v>
      </c>
      <c r="L19">
        <v>3</v>
      </c>
      <c r="M19">
        <v>4</v>
      </c>
      <c r="N19">
        <v>5</v>
      </c>
      <c r="O19">
        <v>6</v>
      </c>
    </row>
    <row r="20" spans="10:15" x14ac:dyDescent="0.3">
      <c r="J20">
        <v>1</v>
      </c>
      <c r="K20">
        <v>2</v>
      </c>
      <c r="L20">
        <v>3</v>
      </c>
      <c r="M20">
        <v>4</v>
      </c>
      <c r="N20">
        <v>5</v>
      </c>
      <c r="O20">
        <v>6</v>
      </c>
    </row>
    <row r="21" spans="10:15" x14ac:dyDescent="0.3">
      <c r="J21">
        <v>1</v>
      </c>
      <c r="K21">
        <v>2</v>
      </c>
      <c r="L21">
        <v>3</v>
      </c>
      <c r="M21">
        <v>4</v>
      </c>
      <c r="N21">
        <v>5</v>
      </c>
      <c r="O21">
        <v>6</v>
      </c>
    </row>
    <row r="22" spans="10:15" x14ac:dyDescent="0.3">
      <c r="J22">
        <v>1</v>
      </c>
      <c r="K22">
        <v>2</v>
      </c>
      <c r="L22">
        <v>3</v>
      </c>
      <c r="M22">
        <v>4</v>
      </c>
      <c r="N22">
        <v>5</v>
      </c>
      <c r="O22">
        <v>6</v>
      </c>
    </row>
    <row r="23" spans="10:15" x14ac:dyDescent="0.3">
      <c r="J23">
        <v>1</v>
      </c>
      <c r="K23">
        <v>2</v>
      </c>
      <c r="L23">
        <v>3</v>
      </c>
      <c r="M23">
        <v>4</v>
      </c>
      <c r="N23">
        <v>5</v>
      </c>
      <c r="O23">
        <v>6</v>
      </c>
    </row>
    <row r="24" spans="10:15" x14ac:dyDescent="0.3">
      <c r="J24">
        <v>1</v>
      </c>
      <c r="K24">
        <v>2</v>
      </c>
      <c r="L24">
        <v>3</v>
      </c>
      <c r="M24">
        <v>4</v>
      </c>
      <c r="N24">
        <v>5</v>
      </c>
      <c r="O24">
        <v>6</v>
      </c>
    </row>
    <row r="25" spans="10:15" x14ac:dyDescent="0.3">
      <c r="J25">
        <v>1</v>
      </c>
      <c r="K25">
        <v>2</v>
      </c>
      <c r="L25">
        <v>3</v>
      </c>
      <c r="M25">
        <v>4</v>
      </c>
      <c r="N25">
        <v>5</v>
      </c>
      <c r="O25">
        <v>6</v>
      </c>
    </row>
    <row r="26" spans="10:15" x14ac:dyDescent="0.3">
      <c r="J26">
        <v>1</v>
      </c>
      <c r="K26">
        <v>2</v>
      </c>
      <c r="L26">
        <v>3</v>
      </c>
      <c r="M26">
        <v>4</v>
      </c>
      <c r="N26">
        <v>5</v>
      </c>
      <c r="O26">
        <v>6</v>
      </c>
    </row>
  </sheetData>
  <phoneticPr fontId="10" type="noConversion"/>
  <conditionalFormatting sqref="I1:I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0A9F-DE75-47B9-B901-09554559E02C}">
  <dimension ref="A1:AG502"/>
  <sheetViews>
    <sheetView tabSelected="1" topLeftCell="T1" workbookViewId="0">
      <selection activeCell="Z16" sqref="Z1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20" width="10.88671875" bestFit="1" customWidth="1"/>
    <col min="21" max="21" width="11" bestFit="1" customWidth="1"/>
    <col min="22" max="22" width="14.21875" bestFit="1" customWidth="1"/>
    <col min="23" max="23" width="13.33203125" bestFit="1" customWidth="1"/>
    <col min="24" max="24" width="15.109375" bestFit="1" customWidth="1"/>
    <col min="25" max="25" width="16.77734375" bestFit="1" customWidth="1"/>
    <col min="26" max="26" width="15.33203125" bestFit="1" customWidth="1"/>
    <col min="27" max="27" width="12.33203125" bestFit="1" customWidth="1"/>
    <col min="31" max="31" width="98.77734375" bestFit="1" customWidth="1"/>
    <col min="33" max="33" width="10.21875" bestFit="1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4" t="s">
        <v>74</v>
      </c>
      <c r="U1" s="3" t="s">
        <v>79</v>
      </c>
      <c r="V1" s="20" t="s">
        <v>154</v>
      </c>
      <c r="W1" s="20" t="s">
        <v>155</v>
      </c>
      <c r="AG1" s="3" t="s">
        <v>13</v>
      </c>
    </row>
    <row r="2" spans="1:33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5" t="str">
        <f>IF(L2&gt;5,"high",IF(L2=5,"medium","low"))</f>
        <v>high</v>
      </c>
      <c r="U2" s="1">
        <f>L2*M2</f>
        <v>19907.09</v>
      </c>
      <c r="V2" t="str">
        <f>IF(N2&gt;10,"Heavy","Normal")</f>
        <v>Normal</v>
      </c>
      <c r="W2" t="str" cm="1">
        <f t="array" ref="W2">_xlfn.IFS(O2&gt;=7000,"Excellent",O2&gt;=4000,"Good",O2&lt;4000,"Average")</f>
        <v>Excellent</v>
      </c>
      <c r="AG2" s="1">
        <v>0</v>
      </c>
    </row>
    <row r="3" spans="1:33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5" t="str">
        <f t="shared" ref="T3:T66" si="3">IF(L3&gt;5,"high",IF(L3=5,"medium","low"))</f>
        <v>high</v>
      </c>
      <c r="U3" s="1">
        <f t="shared" ref="U3:U66" si="4">L3*M3</f>
        <v>22727.07</v>
      </c>
      <c r="V3" t="str">
        <f t="shared" ref="V3:V66" si="5">IF(N3&gt;10,"Heavy","Normal")</f>
        <v>Normal</v>
      </c>
      <c r="W3" t="str" cm="1">
        <f t="array" ref="W3">_xlfn.IFS(O3&gt;=7000,"Excellent",O3&gt;=4000,"Good",O3&lt;4000,"Average")</f>
        <v>Excellent</v>
      </c>
      <c r="AG3" s="1">
        <v>5</v>
      </c>
    </row>
    <row r="4" spans="1:33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5" t="str">
        <f t="shared" si="3"/>
        <v>high</v>
      </c>
      <c r="U4" s="1">
        <f t="shared" si="4"/>
        <v>20846.04</v>
      </c>
      <c r="V4" t="str">
        <f t="shared" si="5"/>
        <v>Heavy</v>
      </c>
      <c r="W4" t="str" cm="1">
        <f t="array" ref="W4">_xlfn.IFS(O4&gt;=7000,"Excellent",O4&gt;=4000,"Good",O4&lt;4000,"Average")</f>
        <v>Excellent</v>
      </c>
      <c r="Y4" t="s">
        <v>157</v>
      </c>
      <c r="Z4" t="s">
        <v>156</v>
      </c>
      <c r="AG4" s="1">
        <v>15</v>
      </c>
    </row>
    <row r="5" spans="1:33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5" t="str">
        <f t="shared" si="3"/>
        <v>low</v>
      </c>
      <c r="U5" s="1">
        <f t="shared" si="4"/>
        <v>1008.79</v>
      </c>
      <c r="V5" t="str">
        <f t="shared" si="5"/>
        <v>Heavy</v>
      </c>
      <c r="W5" t="str" cm="1">
        <f t="array" ref="W5">_xlfn.IFS(O5&gt;=7000,"Excellent",O5&gt;=4000,"Good",O5&lt;4000,"Average")</f>
        <v>Average</v>
      </c>
      <c r="Y5" s="1" t="s">
        <v>49</v>
      </c>
      <c r="Z5">
        <f>SUMIF(I2:I501,Y5,O2:O501)</f>
        <v>742761.89</v>
      </c>
      <c r="AE5" t="s">
        <v>147</v>
      </c>
      <c r="AG5" s="1">
        <v>20</v>
      </c>
    </row>
    <row r="6" spans="1:33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5" t="str">
        <f t="shared" si="3"/>
        <v>high</v>
      </c>
      <c r="U6" s="1">
        <f t="shared" si="4"/>
        <v>24580.289999999997</v>
      </c>
      <c r="V6" t="str">
        <f t="shared" si="5"/>
        <v>Heavy</v>
      </c>
      <c r="W6" t="str" cm="1">
        <f t="array" ref="W6">_xlfn.IFS(O6&gt;=7000,"Excellent",O6&gt;=4000,"Good",O6&lt;4000,"Average")</f>
        <v>Excellent</v>
      </c>
      <c r="AE6" t="s">
        <v>148</v>
      </c>
      <c r="AG6" s="1">
        <v>10</v>
      </c>
    </row>
    <row r="7" spans="1:33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5" t="str">
        <f t="shared" si="3"/>
        <v>low</v>
      </c>
      <c r="U7" s="1">
        <f t="shared" si="4"/>
        <v>9568.6500000000015</v>
      </c>
      <c r="V7" t="str">
        <f t="shared" si="5"/>
        <v>Normal</v>
      </c>
      <c r="W7" t="str" cm="1">
        <f t="array" ref="W7">_xlfn.IFS(O7&gt;=7000,"Excellent",O7&gt;=4000,"Good",O7&lt;4000,"Average")</f>
        <v>Excellent</v>
      </c>
      <c r="Y7" t="s">
        <v>157</v>
      </c>
      <c r="Z7" t="s">
        <v>158</v>
      </c>
      <c r="AA7" t="s">
        <v>156</v>
      </c>
      <c r="AE7" t="s">
        <v>149</v>
      </c>
    </row>
    <row r="8" spans="1:33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5" t="str">
        <f t="shared" si="3"/>
        <v>medium</v>
      </c>
      <c r="U8" s="1">
        <f t="shared" si="4"/>
        <v>15152.1</v>
      </c>
      <c r="V8" t="str">
        <f t="shared" si="5"/>
        <v>Normal</v>
      </c>
      <c r="W8" t="str" cm="1">
        <f t="array" ref="W8">_xlfn.IFS(O8&gt;=7000,"Excellent",O8&gt;=4000,"Good",O8&lt;4000,"Average")</f>
        <v>Excellent</v>
      </c>
      <c r="Y8" s="1" t="s">
        <v>49</v>
      </c>
      <c r="Z8" s="1" t="s">
        <v>24</v>
      </c>
      <c r="AA8">
        <f>SUMIFS(O2:O501,I2:I501,Y8,G2:G501,Z8)</f>
        <v>371838.50000000012</v>
      </c>
      <c r="AE8" t="s">
        <v>150</v>
      </c>
    </row>
    <row r="9" spans="1:33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5" t="str">
        <f t="shared" si="3"/>
        <v>low</v>
      </c>
      <c r="U9" s="1">
        <f t="shared" si="4"/>
        <v>9243.32</v>
      </c>
      <c r="V9" t="str">
        <f t="shared" si="5"/>
        <v>Normal</v>
      </c>
      <c r="W9" t="str" cm="1">
        <f t="array" ref="W9">_xlfn.IFS(O9&gt;=7000,"Excellent",O9&gt;=4000,"Good",O9&lt;4000,"Average")</f>
        <v>Excellent</v>
      </c>
      <c r="AE9" t="s">
        <v>151</v>
      </c>
    </row>
    <row r="10" spans="1:33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5" t="str">
        <f t="shared" si="3"/>
        <v>medium</v>
      </c>
      <c r="U10" s="1">
        <f t="shared" si="4"/>
        <v>5490.2</v>
      </c>
      <c r="V10" t="str">
        <f t="shared" si="5"/>
        <v>Heavy</v>
      </c>
      <c r="W10" t="str" cm="1">
        <f t="array" ref="W10">_xlfn.IFS(O10&gt;=7000,"Excellent",O10&gt;=4000,"Good",O10&lt;4000,"Average")</f>
        <v>Good</v>
      </c>
      <c r="Y10" t="s">
        <v>159</v>
      </c>
      <c r="Z10" t="s">
        <v>160</v>
      </c>
      <c r="AE10" t="s">
        <v>152</v>
      </c>
    </row>
    <row r="11" spans="1:33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5" t="str">
        <f t="shared" si="3"/>
        <v>medium</v>
      </c>
      <c r="U11" s="1">
        <f t="shared" si="4"/>
        <v>8903.3000000000011</v>
      </c>
      <c r="V11" t="str">
        <f t="shared" si="5"/>
        <v>Heavy</v>
      </c>
      <c r="W11" t="str" cm="1">
        <f t="array" ref="W11">_xlfn.IFS(O11&gt;=7000,"Excellent",O11&gt;=4000,"Good",O11&lt;4000,"Average")</f>
        <v>Excellent</v>
      </c>
      <c r="Y11" s="1" t="s">
        <v>52</v>
      </c>
      <c r="Z11">
        <f>COUNTIF(I2:I501,Y11)</f>
        <v>99</v>
      </c>
      <c r="AE11" t="s">
        <v>162</v>
      </c>
    </row>
    <row r="12" spans="1:33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5" t="str">
        <f t="shared" si="3"/>
        <v>high</v>
      </c>
      <c r="U12" s="1">
        <f t="shared" si="4"/>
        <v>19231.5</v>
      </c>
      <c r="V12" t="str">
        <f t="shared" si="5"/>
        <v>Normal</v>
      </c>
      <c r="W12" t="str" cm="1">
        <f t="array" ref="W12">_xlfn.IFS(O12&gt;=7000,"Excellent",O12&gt;=4000,"Good",O12&lt;4000,"Average")</f>
        <v>Excellent</v>
      </c>
    </row>
    <row r="13" spans="1:33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5" t="str">
        <f t="shared" si="3"/>
        <v>high</v>
      </c>
      <c r="U13" s="1">
        <f t="shared" si="4"/>
        <v>1634.1000000000001</v>
      </c>
      <c r="V13" t="str">
        <f t="shared" si="5"/>
        <v>Normal</v>
      </c>
      <c r="W13" t="str" cm="1">
        <f t="array" ref="W13">_xlfn.IFS(O13&gt;=7000,"Excellent",O13&gt;=4000,"Good",O13&lt;4000,"Average")</f>
        <v>Average</v>
      </c>
      <c r="Y13" t="s">
        <v>153</v>
      </c>
      <c r="Z13" t="s">
        <v>161</v>
      </c>
    </row>
    <row r="14" spans="1:33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5" t="str">
        <f t="shared" si="3"/>
        <v>high</v>
      </c>
      <c r="U14" s="1">
        <f t="shared" si="4"/>
        <v>25287.200000000001</v>
      </c>
      <c r="V14" t="str">
        <f t="shared" si="5"/>
        <v>Normal</v>
      </c>
      <c r="W14" t="str" cm="1">
        <f t="array" ref="W14">_xlfn.IFS(O14&gt;=7000,"Excellent",O14&gt;=4000,"Good",O14&lt;4000,"Average")</f>
        <v>Excellent</v>
      </c>
      <c r="Y14">
        <v>15</v>
      </c>
      <c r="Z14">
        <f>COUNTIF(N2:N501,"&gt;"&amp;Y14)</f>
        <v>106</v>
      </c>
    </row>
    <row r="15" spans="1:33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5" t="str">
        <f t="shared" si="3"/>
        <v>high</v>
      </c>
      <c r="U15" s="1">
        <f t="shared" si="4"/>
        <v>8594.16</v>
      </c>
      <c r="V15" t="str">
        <f t="shared" si="5"/>
        <v>Heavy</v>
      </c>
      <c r="W15" t="str" cm="1">
        <f t="array" ref="W15">_xlfn.IFS(O15&gt;=7000,"Excellent",O15&gt;=4000,"Good",O15&lt;4000,"Average")</f>
        <v>Excellent</v>
      </c>
      <c r="Y15" t="s">
        <v>164</v>
      </c>
      <c r="Z15" t="s">
        <v>163</v>
      </c>
    </row>
    <row r="16" spans="1:33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5" t="str">
        <f t="shared" si="3"/>
        <v>high</v>
      </c>
      <c r="U16" s="1">
        <f t="shared" si="4"/>
        <v>6350.31</v>
      </c>
      <c r="V16" t="str">
        <f t="shared" si="5"/>
        <v>Normal</v>
      </c>
      <c r="W16" t="str" cm="1">
        <f t="array" ref="W16">_xlfn.IFS(O16&gt;=7000,"Excellent",O16&gt;=4000,"Good",O16&lt;4000,"Average")</f>
        <v>Good</v>
      </c>
      <c r="X16" s="1" t="s">
        <v>49</v>
      </c>
      <c r="Y16" s="1" t="s">
        <v>35</v>
      </c>
      <c r="Z16">
        <f>COUNTIFS(I2:I501,X16,H2:H501,Y16)</f>
        <v>13</v>
      </c>
    </row>
    <row r="17" spans="1:23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5" t="str">
        <f t="shared" si="3"/>
        <v>high</v>
      </c>
      <c r="U17" s="1">
        <f t="shared" si="4"/>
        <v>4763.6000000000004</v>
      </c>
      <c r="V17" t="str">
        <f t="shared" si="5"/>
        <v>Normal</v>
      </c>
      <c r="W17" t="str" cm="1">
        <f t="array" ref="W17">_xlfn.IFS(O17&gt;=7000,"Excellent",O17&gt;=4000,"Good",O17&lt;4000,"Average")</f>
        <v>Good</v>
      </c>
    </row>
    <row r="18" spans="1:23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5" t="str">
        <f t="shared" si="3"/>
        <v>low</v>
      </c>
      <c r="U18" s="1">
        <f t="shared" si="4"/>
        <v>509.82</v>
      </c>
      <c r="V18" t="str">
        <f t="shared" si="5"/>
        <v>Heavy</v>
      </c>
      <c r="W18" t="str" cm="1">
        <f t="array" ref="W18">_xlfn.IFS(O18&gt;=7000,"Excellent",O18&gt;=4000,"Good",O18&lt;4000,"Average")</f>
        <v>Average</v>
      </c>
    </row>
    <row r="19" spans="1:23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5" t="str">
        <f t="shared" si="3"/>
        <v>low</v>
      </c>
      <c r="U19" s="1">
        <f t="shared" si="4"/>
        <v>2165.81</v>
      </c>
      <c r="V19" t="str">
        <f t="shared" si="5"/>
        <v>Heavy</v>
      </c>
      <c r="W19" t="str" cm="1">
        <f t="array" ref="W19">_xlfn.IFS(O19&gt;=7000,"Excellent",O19&gt;=4000,"Good",O19&lt;4000,"Average")</f>
        <v>Average</v>
      </c>
    </row>
    <row r="20" spans="1:23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5" t="str">
        <f t="shared" si="3"/>
        <v>low</v>
      </c>
      <c r="U20" s="1">
        <f t="shared" si="4"/>
        <v>1980.6</v>
      </c>
      <c r="V20" t="str">
        <f t="shared" si="5"/>
        <v>Heavy</v>
      </c>
      <c r="W20" t="str" cm="1">
        <f t="array" ref="W20">_xlfn.IFS(O20&gt;=7000,"Excellent",O20&gt;=4000,"Good",O20&lt;4000,"Average")</f>
        <v>Average</v>
      </c>
    </row>
    <row r="21" spans="1:23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5" t="str">
        <f t="shared" si="3"/>
        <v>low</v>
      </c>
      <c r="U21" s="1">
        <f t="shared" si="4"/>
        <v>7918.62</v>
      </c>
      <c r="V21" t="str">
        <f t="shared" si="5"/>
        <v>Normal</v>
      </c>
      <c r="W21" t="str" cm="1">
        <f t="array" ref="W21">_xlfn.IFS(O21&gt;=7000,"Excellent",O21&gt;=4000,"Good",O21&lt;4000,"Average")</f>
        <v>Excellent</v>
      </c>
    </row>
    <row r="22" spans="1:23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5" t="str">
        <f t="shared" si="3"/>
        <v>low</v>
      </c>
      <c r="U22" s="1">
        <f t="shared" si="4"/>
        <v>7084.74</v>
      </c>
      <c r="V22" t="str">
        <f t="shared" si="5"/>
        <v>Normal</v>
      </c>
      <c r="W22" t="str" cm="1">
        <f t="array" ref="W22">_xlfn.IFS(O22&gt;=7000,"Excellent",O22&gt;=4000,"Good",O22&lt;4000,"Average")</f>
        <v>Good</v>
      </c>
    </row>
    <row r="23" spans="1:23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5" t="str">
        <f t="shared" si="3"/>
        <v>high</v>
      </c>
      <c r="U23" s="1">
        <f t="shared" si="4"/>
        <v>4766.0200000000004</v>
      </c>
      <c r="V23" t="str">
        <f t="shared" si="5"/>
        <v>Heavy</v>
      </c>
      <c r="W23" t="str" cm="1">
        <f t="array" ref="W23">_xlfn.IFS(O23&gt;=7000,"Excellent",O23&gt;=4000,"Good",O23&lt;4000,"Average")</f>
        <v>Average</v>
      </c>
    </row>
    <row r="24" spans="1:23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5" t="str">
        <f t="shared" si="3"/>
        <v>low</v>
      </c>
      <c r="U24" s="1">
        <f t="shared" si="4"/>
        <v>5603.48</v>
      </c>
      <c r="V24" t="str">
        <f t="shared" si="5"/>
        <v>Heavy</v>
      </c>
      <c r="W24" t="str" cm="1">
        <f t="array" ref="W24">_xlfn.IFS(O24&gt;=7000,"Excellent",O24&gt;=4000,"Good",O24&lt;4000,"Average")</f>
        <v>Good</v>
      </c>
    </row>
    <row r="25" spans="1:23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5" t="str">
        <f t="shared" si="3"/>
        <v>low</v>
      </c>
      <c r="U25" s="1">
        <f t="shared" si="4"/>
        <v>3606.31</v>
      </c>
      <c r="V25" t="str">
        <f t="shared" si="5"/>
        <v>Normal</v>
      </c>
      <c r="W25" t="str" cm="1">
        <f t="array" ref="W25">_xlfn.IFS(O25&gt;=7000,"Excellent",O25&gt;=4000,"Good",O25&lt;4000,"Average")</f>
        <v>Average</v>
      </c>
    </row>
    <row r="26" spans="1:23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5" t="str">
        <f t="shared" si="3"/>
        <v>high</v>
      </c>
      <c r="U26" s="1">
        <f t="shared" si="4"/>
        <v>18113.64</v>
      </c>
      <c r="V26" t="str">
        <f t="shared" si="5"/>
        <v>Normal</v>
      </c>
      <c r="W26" t="str" cm="1">
        <f t="array" ref="W26">_xlfn.IFS(O26&gt;=7000,"Excellent",O26&gt;=4000,"Good",O26&lt;4000,"Average")</f>
        <v>Excellent</v>
      </c>
    </row>
    <row r="27" spans="1:23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5" t="str">
        <f t="shared" si="3"/>
        <v>high</v>
      </c>
      <c r="U27" s="1">
        <f t="shared" si="4"/>
        <v>3998.61</v>
      </c>
      <c r="V27" t="str">
        <f t="shared" si="5"/>
        <v>Normal</v>
      </c>
      <c r="W27" t="str" cm="1">
        <f t="array" ref="W27">_xlfn.IFS(O27&gt;=7000,"Excellent",O27&gt;=4000,"Good",O27&lt;4000,"Average")</f>
        <v>Average</v>
      </c>
    </row>
    <row r="28" spans="1:23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5" t="str">
        <f t="shared" si="3"/>
        <v>low</v>
      </c>
      <c r="U28" s="1">
        <f t="shared" si="4"/>
        <v>10797.45</v>
      </c>
      <c r="V28" t="str">
        <f t="shared" si="5"/>
        <v>Normal</v>
      </c>
      <c r="W28" t="str" cm="1">
        <f t="array" ref="W28">_xlfn.IFS(O28&gt;=7000,"Excellent",O28&gt;=4000,"Good",O28&lt;4000,"Average")</f>
        <v>Excellent</v>
      </c>
    </row>
    <row r="29" spans="1:23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5" t="str">
        <f t="shared" si="3"/>
        <v>high</v>
      </c>
      <c r="U29" s="1">
        <f t="shared" si="4"/>
        <v>19239.78</v>
      </c>
      <c r="V29" t="str">
        <f t="shared" si="5"/>
        <v>Heavy</v>
      </c>
      <c r="W29" t="str" cm="1">
        <f t="array" ref="W29">_xlfn.IFS(O29&gt;=7000,"Excellent",O29&gt;=4000,"Good",O29&lt;4000,"Average")</f>
        <v>Excellent</v>
      </c>
    </row>
    <row r="30" spans="1:23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5" t="str">
        <f t="shared" si="3"/>
        <v>low</v>
      </c>
      <c r="U30" s="1">
        <f t="shared" si="4"/>
        <v>2278.41</v>
      </c>
      <c r="V30" t="str">
        <f t="shared" si="5"/>
        <v>Heavy</v>
      </c>
      <c r="W30" t="str" cm="1">
        <f t="array" ref="W30">_xlfn.IFS(O30&gt;=7000,"Excellent",O30&gt;=4000,"Good",O30&lt;4000,"Average")</f>
        <v>Average</v>
      </c>
    </row>
    <row r="31" spans="1:23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5" t="str">
        <f t="shared" si="3"/>
        <v>low</v>
      </c>
      <c r="U31" s="1">
        <f t="shared" si="4"/>
        <v>349.38</v>
      </c>
      <c r="V31" t="str">
        <f t="shared" si="5"/>
        <v>Normal</v>
      </c>
      <c r="W31" t="str" cm="1">
        <f t="array" ref="W31">_xlfn.IFS(O31&gt;=7000,"Excellent",O31&gt;=4000,"Good",O31&lt;4000,"Average")</f>
        <v>Average</v>
      </c>
    </row>
    <row r="32" spans="1:23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5" t="str">
        <f t="shared" si="3"/>
        <v>medium</v>
      </c>
      <c r="U32" s="1">
        <f t="shared" si="4"/>
        <v>11478.25</v>
      </c>
      <c r="V32" t="str">
        <f t="shared" si="5"/>
        <v>Heavy</v>
      </c>
      <c r="W32" t="str" cm="1">
        <f t="array" ref="W32">_xlfn.IFS(O32&gt;=7000,"Excellent",O32&gt;=4000,"Good",O32&lt;4000,"Average")</f>
        <v>Excellent</v>
      </c>
    </row>
    <row r="33" spans="1:23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5" t="str">
        <f t="shared" si="3"/>
        <v>low</v>
      </c>
      <c r="U33" s="1">
        <f t="shared" si="4"/>
        <v>3002.96</v>
      </c>
      <c r="V33" t="str">
        <f t="shared" si="5"/>
        <v>Normal</v>
      </c>
      <c r="W33" t="str" cm="1">
        <f t="array" ref="W33">_xlfn.IFS(O33&gt;=7000,"Excellent",O33&gt;=4000,"Good",O33&lt;4000,"Average")</f>
        <v>Average</v>
      </c>
    </row>
    <row r="34" spans="1:23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5" t="str">
        <f t="shared" si="3"/>
        <v>high</v>
      </c>
      <c r="U34" s="1">
        <f t="shared" si="4"/>
        <v>23542.26</v>
      </c>
      <c r="V34" t="str">
        <f t="shared" si="5"/>
        <v>Heavy</v>
      </c>
      <c r="W34" t="str" cm="1">
        <f t="array" ref="W34">_xlfn.IFS(O34&gt;=7000,"Excellent",O34&gt;=4000,"Good",O34&lt;4000,"Average")</f>
        <v>Excellent</v>
      </c>
    </row>
    <row r="35" spans="1:23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5" t="str">
        <f t="shared" si="3"/>
        <v>high</v>
      </c>
      <c r="U35" s="1">
        <f t="shared" si="4"/>
        <v>9177.5399999999991</v>
      </c>
      <c r="V35" t="str">
        <f t="shared" si="5"/>
        <v>Normal</v>
      </c>
      <c r="W35" t="str" cm="1">
        <f t="array" ref="W35">_xlfn.IFS(O35&gt;=7000,"Excellent",O35&gt;=4000,"Good",O35&lt;4000,"Average")</f>
        <v>Excellent</v>
      </c>
    </row>
    <row r="36" spans="1:23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5" t="str">
        <f t="shared" si="3"/>
        <v>high</v>
      </c>
      <c r="U36" s="1">
        <f t="shared" si="4"/>
        <v>25652.48</v>
      </c>
      <c r="V36" t="str">
        <f t="shared" si="5"/>
        <v>Normal</v>
      </c>
      <c r="W36" t="str" cm="1">
        <f t="array" ref="W36">_xlfn.IFS(O36&gt;=7000,"Excellent",O36&gt;=4000,"Good",O36&lt;4000,"Average")</f>
        <v>Excellent</v>
      </c>
    </row>
    <row r="37" spans="1:23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5" t="str">
        <f t="shared" si="3"/>
        <v>medium</v>
      </c>
      <c r="U37" s="1">
        <f t="shared" si="4"/>
        <v>11639.5</v>
      </c>
      <c r="V37" t="str">
        <f t="shared" si="5"/>
        <v>Normal</v>
      </c>
      <c r="W37" t="str" cm="1">
        <f t="array" ref="W37">_xlfn.IFS(O37&gt;=7000,"Excellent",O37&gt;=4000,"Good",O37&lt;4000,"Average")</f>
        <v>Excellent</v>
      </c>
    </row>
    <row r="38" spans="1:23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5" t="str">
        <f t="shared" si="3"/>
        <v>low</v>
      </c>
      <c r="U38" s="1">
        <f t="shared" si="4"/>
        <v>3413.16</v>
      </c>
      <c r="V38" t="str">
        <f t="shared" si="5"/>
        <v>Normal</v>
      </c>
      <c r="W38" t="str" cm="1">
        <f t="array" ref="W38">_xlfn.IFS(O38&gt;=7000,"Excellent",O38&gt;=4000,"Good",O38&lt;4000,"Average")</f>
        <v>Average</v>
      </c>
    </row>
    <row r="39" spans="1:23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5" t="str">
        <f t="shared" si="3"/>
        <v>high</v>
      </c>
      <c r="U39" s="1">
        <f t="shared" si="4"/>
        <v>4812.22</v>
      </c>
      <c r="V39" t="str">
        <f t="shared" si="5"/>
        <v>Heavy</v>
      </c>
      <c r="W39" t="str" cm="1">
        <f t="array" ref="W39">_xlfn.IFS(O39&gt;=7000,"Excellent",O39&gt;=4000,"Good",O39&lt;4000,"Average")</f>
        <v>Average</v>
      </c>
    </row>
    <row r="40" spans="1:23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5" t="str">
        <f t="shared" si="3"/>
        <v>high</v>
      </c>
      <c r="U40" s="1">
        <f t="shared" si="4"/>
        <v>16585.940000000002</v>
      </c>
      <c r="V40" t="str">
        <f t="shared" si="5"/>
        <v>Heavy</v>
      </c>
      <c r="W40" t="str" cm="1">
        <f t="array" ref="W40">_xlfn.IFS(O40&gt;=7000,"Excellent",O40&gt;=4000,"Good",O40&lt;4000,"Average")</f>
        <v>Excellent</v>
      </c>
    </row>
    <row r="41" spans="1:23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5" t="str">
        <f t="shared" si="3"/>
        <v>high</v>
      </c>
      <c r="U41" s="1">
        <f t="shared" si="4"/>
        <v>18499.5</v>
      </c>
      <c r="V41" t="str">
        <f t="shared" si="5"/>
        <v>Normal</v>
      </c>
      <c r="W41" t="str" cm="1">
        <f t="array" ref="W41">_xlfn.IFS(O41&gt;=7000,"Excellent",O41&gt;=4000,"Good",O41&lt;4000,"Average")</f>
        <v>Excellent</v>
      </c>
    </row>
    <row r="42" spans="1:23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5" t="str">
        <f t="shared" si="3"/>
        <v>high</v>
      </c>
      <c r="U42" s="1">
        <f t="shared" si="4"/>
        <v>25270.400000000001</v>
      </c>
      <c r="V42" t="str">
        <f t="shared" si="5"/>
        <v>Normal</v>
      </c>
      <c r="W42" t="str" cm="1">
        <f t="array" ref="W42">_xlfn.IFS(O42&gt;=7000,"Excellent",O42&gt;=4000,"Good",O42&lt;4000,"Average")</f>
        <v>Excellent</v>
      </c>
    </row>
    <row r="43" spans="1:23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5" t="str">
        <f t="shared" si="3"/>
        <v>low</v>
      </c>
      <c r="U43" s="1">
        <f t="shared" si="4"/>
        <v>4846.68</v>
      </c>
      <c r="V43" t="str">
        <f t="shared" si="5"/>
        <v>Heavy</v>
      </c>
      <c r="W43" t="str" cm="1">
        <f t="array" ref="W43">_xlfn.IFS(O43&gt;=7000,"Excellent",O43&gt;=4000,"Good",O43&lt;4000,"Average")</f>
        <v>Average</v>
      </c>
    </row>
    <row r="44" spans="1:23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5" t="str">
        <f t="shared" si="3"/>
        <v>medium</v>
      </c>
      <c r="U44" s="1">
        <f t="shared" si="4"/>
        <v>4681.75</v>
      </c>
      <c r="V44" t="str">
        <f t="shared" si="5"/>
        <v>Heavy</v>
      </c>
      <c r="W44" t="str" cm="1">
        <f t="array" ref="W44">_xlfn.IFS(O44&gt;=7000,"Excellent",O44&gt;=4000,"Good",O44&lt;4000,"Average")</f>
        <v>Average</v>
      </c>
    </row>
    <row r="45" spans="1:23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5" t="str">
        <f t="shared" si="3"/>
        <v>low</v>
      </c>
      <c r="U45" s="1">
        <f t="shared" si="4"/>
        <v>858.04</v>
      </c>
      <c r="V45" t="str">
        <f t="shared" si="5"/>
        <v>Heavy</v>
      </c>
      <c r="W45" t="str" cm="1">
        <f t="array" ref="W45">_xlfn.IFS(O45&gt;=7000,"Excellent",O45&gt;=4000,"Good",O45&lt;4000,"Average")</f>
        <v>Average</v>
      </c>
    </row>
    <row r="46" spans="1:23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5" t="str">
        <f t="shared" si="3"/>
        <v>low</v>
      </c>
      <c r="U46" s="1">
        <f t="shared" si="4"/>
        <v>2764.92</v>
      </c>
      <c r="V46" t="str">
        <f t="shared" si="5"/>
        <v>Normal</v>
      </c>
      <c r="W46" t="str" cm="1">
        <f t="array" ref="W46">_xlfn.IFS(O46&gt;=7000,"Excellent",O46&gt;=4000,"Good",O46&lt;4000,"Average")</f>
        <v>Average</v>
      </c>
    </row>
    <row r="47" spans="1:23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5" t="str">
        <f t="shared" si="3"/>
        <v>high</v>
      </c>
      <c r="U47" s="1">
        <f t="shared" si="4"/>
        <v>3558.32</v>
      </c>
      <c r="V47" t="str">
        <f t="shared" si="5"/>
        <v>Normal</v>
      </c>
      <c r="W47" t="str" cm="1">
        <f t="array" ref="W47">_xlfn.IFS(O47&gt;=7000,"Excellent",O47&gt;=4000,"Good",O47&lt;4000,"Average")</f>
        <v>Average</v>
      </c>
    </row>
    <row r="48" spans="1:23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5" t="str">
        <f t="shared" si="3"/>
        <v>low</v>
      </c>
      <c r="U48" s="1">
        <f t="shared" si="4"/>
        <v>1769.93</v>
      </c>
      <c r="V48" t="str">
        <f t="shared" si="5"/>
        <v>Heavy</v>
      </c>
      <c r="W48" t="str" cm="1">
        <f t="array" ref="W48">_xlfn.IFS(O48&gt;=7000,"Excellent",O48&gt;=4000,"Good",O48&lt;4000,"Average")</f>
        <v>Average</v>
      </c>
    </row>
    <row r="49" spans="1:23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5" t="str">
        <f t="shared" si="3"/>
        <v>medium</v>
      </c>
      <c r="U49" s="1">
        <f t="shared" si="4"/>
        <v>12332.4</v>
      </c>
      <c r="V49" t="str">
        <f t="shared" si="5"/>
        <v>Normal</v>
      </c>
      <c r="W49" t="str" cm="1">
        <f t="array" ref="W49">_xlfn.IFS(O49&gt;=7000,"Excellent",O49&gt;=4000,"Good",O49&lt;4000,"Average")</f>
        <v>Excellent</v>
      </c>
    </row>
    <row r="50" spans="1:23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5" t="str">
        <f t="shared" si="3"/>
        <v>high</v>
      </c>
      <c r="U50" s="1">
        <f t="shared" si="4"/>
        <v>22547.22</v>
      </c>
      <c r="V50" t="str">
        <f t="shared" si="5"/>
        <v>Heavy</v>
      </c>
      <c r="W50" t="str" cm="1">
        <f t="array" ref="W50">_xlfn.IFS(O50&gt;=7000,"Excellent",O50&gt;=4000,"Good",O50&lt;4000,"Average")</f>
        <v>Excellent</v>
      </c>
    </row>
    <row r="51" spans="1:23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5" t="str">
        <f t="shared" si="3"/>
        <v>high</v>
      </c>
      <c r="U51" s="1">
        <f t="shared" si="4"/>
        <v>8102.64</v>
      </c>
      <c r="V51" t="str">
        <f t="shared" si="5"/>
        <v>Heavy</v>
      </c>
      <c r="W51" t="str" cm="1">
        <f t="array" ref="W51">_xlfn.IFS(O51&gt;=7000,"Excellent",O51&gt;=4000,"Good",O51&lt;4000,"Average")</f>
        <v>Good</v>
      </c>
    </row>
    <row r="52" spans="1:23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5" t="str">
        <f t="shared" si="3"/>
        <v>medium</v>
      </c>
      <c r="U52" s="1">
        <f t="shared" si="4"/>
        <v>5558.0999999999995</v>
      </c>
      <c r="V52" t="str">
        <f t="shared" si="5"/>
        <v>Heavy</v>
      </c>
      <c r="W52" t="str" cm="1">
        <f t="array" ref="W52">_xlfn.IFS(O52&gt;=7000,"Excellent",O52&gt;=4000,"Good",O52&lt;4000,"Average")</f>
        <v>Good</v>
      </c>
    </row>
    <row r="53" spans="1:23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5" t="str">
        <f t="shared" si="3"/>
        <v>low</v>
      </c>
      <c r="U53" s="1">
        <f t="shared" si="4"/>
        <v>8005.5599999999995</v>
      </c>
      <c r="V53" t="str">
        <f t="shared" si="5"/>
        <v>Normal</v>
      </c>
      <c r="W53" t="str" cm="1">
        <f t="array" ref="W53">_xlfn.IFS(O53&gt;=7000,"Excellent",O53&gt;=4000,"Good",O53&lt;4000,"Average")</f>
        <v>Excellent</v>
      </c>
    </row>
    <row r="54" spans="1:23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5" t="str">
        <f t="shared" si="3"/>
        <v>medium</v>
      </c>
      <c r="U54" s="1">
        <f t="shared" si="4"/>
        <v>12670.35</v>
      </c>
      <c r="V54" t="str">
        <f t="shared" si="5"/>
        <v>Normal</v>
      </c>
      <c r="W54" t="str" cm="1">
        <f t="array" ref="W54">_xlfn.IFS(O54&gt;=7000,"Excellent",O54&gt;=4000,"Good",O54&lt;4000,"Average")</f>
        <v>Excellent</v>
      </c>
    </row>
    <row r="55" spans="1:23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5" t="str">
        <f t="shared" si="3"/>
        <v>high</v>
      </c>
      <c r="U55" s="1">
        <f t="shared" si="4"/>
        <v>11428.96</v>
      </c>
      <c r="V55" t="str">
        <f t="shared" si="5"/>
        <v>Normal</v>
      </c>
      <c r="W55" t="str" cm="1">
        <f t="array" ref="W55">_xlfn.IFS(O55&gt;=7000,"Excellent",O55&gt;=4000,"Good",O55&lt;4000,"Average")</f>
        <v>Excellent</v>
      </c>
    </row>
    <row r="56" spans="1:23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5" t="str">
        <f t="shared" si="3"/>
        <v>low</v>
      </c>
      <c r="U56" s="1">
        <f t="shared" si="4"/>
        <v>7446.38</v>
      </c>
      <c r="V56" t="str">
        <f t="shared" si="5"/>
        <v>Normal</v>
      </c>
      <c r="W56" t="str" cm="1">
        <f t="array" ref="W56">_xlfn.IFS(O56&gt;=7000,"Excellent",O56&gt;=4000,"Good",O56&lt;4000,"Average")</f>
        <v>Excellent</v>
      </c>
    </row>
    <row r="57" spans="1:23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5" t="str">
        <f t="shared" si="3"/>
        <v>high</v>
      </c>
      <c r="U57" s="1">
        <f t="shared" si="4"/>
        <v>20416.32</v>
      </c>
      <c r="V57" t="str">
        <f t="shared" si="5"/>
        <v>Heavy</v>
      </c>
      <c r="W57" t="str" cm="1">
        <f t="array" ref="W57">_xlfn.IFS(O57&gt;=7000,"Excellent",O57&gt;=4000,"Good",O57&lt;4000,"Average")</f>
        <v>Excellent</v>
      </c>
    </row>
    <row r="58" spans="1:23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5" t="str">
        <f t="shared" si="3"/>
        <v>high</v>
      </c>
      <c r="U58" s="1">
        <f t="shared" si="4"/>
        <v>9110.9700000000012</v>
      </c>
      <c r="V58" t="str">
        <f t="shared" si="5"/>
        <v>Heavy</v>
      </c>
      <c r="W58" t="str" cm="1">
        <f t="array" ref="W58">_xlfn.IFS(O58&gt;=7000,"Excellent",O58&gt;=4000,"Good",O58&lt;4000,"Average")</f>
        <v>Excellent</v>
      </c>
    </row>
    <row r="59" spans="1:23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5" t="str">
        <f t="shared" si="3"/>
        <v>high</v>
      </c>
      <c r="U59" s="1">
        <f t="shared" si="4"/>
        <v>8565.6</v>
      </c>
      <c r="V59" t="str">
        <f t="shared" si="5"/>
        <v>Normal</v>
      </c>
      <c r="W59" t="str" cm="1">
        <f t="array" ref="W59">_xlfn.IFS(O59&gt;=7000,"Excellent",O59&gt;=4000,"Good",O59&lt;4000,"Average")</f>
        <v>Excellent</v>
      </c>
    </row>
    <row r="60" spans="1:23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5" t="str">
        <f t="shared" si="3"/>
        <v>high</v>
      </c>
      <c r="U60" s="1">
        <f t="shared" si="4"/>
        <v>16978.88</v>
      </c>
      <c r="V60" t="str">
        <f t="shared" si="5"/>
        <v>Normal</v>
      </c>
      <c r="W60" t="str" cm="1">
        <f t="array" ref="W60">_xlfn.IFS(O60&gt;=7000,"Excellent",O60&gt;=4000,"Good",O60&lt;4000,"Average")</f>
        <v>Excellent</v>
      </c>
    </row>
    <row r="61" spans="1:23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5" t="str">
        <f t="shared" si="3"/>
        <v>high</v>
      </c>
      <c r="U61" s="1">
        <f t="shared" si="4"/>
        <v>25026</v>
      </c>
      <c r="V61" t="str">
        <f t="shared" si="5"/>
        <v>Heavy</v>
      </c>
      <c r="W61" t="str" cm="1">
        <f t="array" ref="W61">_xlfn.IFS(O61&gt;=7000,"Excellent",O61&gt;=4000,"Good",O61&lt;4000,"Average")</f>
        <v>Excellent</v>
      </c>
    </row>
    <row r="62" spans="1:23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5" t="str">
        <f t="shared" si="3"/>
        <v>high</v>
      </c>
      <c r="U62" s="1">
        <f t="shared" si="4"/>
        <v>2236.92</v>
      </c>
      <c r="V62" t="str">
        <f t="shared" si="5"/>
        <v>Normal</v>
      </c>
      <c r="W62" t="str" cm="1">
        <f t="array" ref="W62">_xlfn.IFS(O62&gt;=7000,"Excellent",O62&gt;=4000,"Good",O62&lt;4000,"Average")</f>
        <v>Average</v>
      </c>
    </row>
    <row r="63" spans="1:23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5" t="str">
        <f t="shared" si="3"/>
        <v>high</v>
      </c>
      <c r="U63" s="1">
        <f t="shared" si="4"/>
        <v>22554.720000000001</v>
      </c>
      <c r="V63" t="str">
        <f t="shared" si="5"/>
        <v>Normal</v>
      </c>
      <c r="W63" t="str" cm="1">
        <f t="array" ref="W63">_xlfn.IFS(O63&gt;=7000,"Excellent",O63&gt;=4000,"Good",O63&lt;4000,"Average")</f>
        <v>Excellent</v>
      </c>
    </row>
    <row r="64" spans="1:23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5" t="str">
        <f t="shared" si="3"/>
        <v>high</v>
      </c>
      <c r="U64" s="1">
        <f t="shared" si="4"/>
        <v>15874.26</v>
      </c>
      <c r="V64" t="str">
        <f t="shared" si="5"/>
        <v>Normal</v>
      </c>
      <c r="W64" t="str" cm="1">
        <f t="array" ref="W64">_xlfn.IFS(O64&gt;=7000,"Excellent",O64&gt;=4000,"Good",O64&lt;4000,"Average")</f>
        <v>Excellent</v>
      </c>
    </row>
    <row r="65" spans="1:23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5" t="str">
        <f t="shared" si="3"/>
        <v>low</v>
      </c>
      <c r="U65" s="1">
        <f t="shared" si="4"/>
        <v>2082.4</v>
      </c>
      <c r="V65" t="str">
        <f t="shared" si="5"/>
        <v>Heavy</v>
      </c>
      <c r="W65" t="str" cm="1">
        <f t="array" ref="W65">_xlfn.IFS(O65&gt;=7000,"Excellent",O65&gt;=4000,"Good",O65&lt;4000,"Average")</f>
        <v>Average</v>
      </c>
    </row>
    <row r="66" spans="1:23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5" t="str">
        <f t="shared" si="3"/>
        <v>low</v>
      </c>
      <c r="U66" s="1">
        <f t="shared" si="4"/>
        <v>5546.42</v>
      </c>
      <c r="V66" t="str">
        <f t="shared" si="5"/>
        <v>Normal</v>
      </c>
      <c r="W66" t="str" cm="1">
        <f t="array" ref="W66">_xlfn.IFS(O66&gt;=7000,"Excellent",O66&gt;=4000,"Good",O66&lt;4000,"Average")</f>
        <v>Good</v>
      </c>
    </row>
    <row r="67" spans="1:23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O67*N67%</f>
        <v>1432.49</v>
      </c>
      <c r="Q67" s="1">
        <f t="shared" ref="Q67:Q130" si="7">O67-P67</f>
        <v>27217.309999999998</v>
      </c>
      <c r="R67" s="1" t="str">
        <f t="shared" ref="R67:R130" si="8">IF(L67&gt;=5,"high","low")</f>
        <v>high</v>
      </c>
      <c r="S67" s="1" t="str" cm="1">
        <f t="array" ref="S67">_xlfn.IFS(L67&gt;5,"high",L67=5,"medium",L67&lt;5,"low")</f>
        <v>high</v>
      </c>
      <c r="T67" s="5" t="str">
        <f t="shared" ref="T67:T130" si="9">IF(L67&gt;5,"high",IF(L67=5,"medium","low"))</f>
        <v>high</v>
      </c>
      <c r="U67" s="1">
        <f t="shared" ref="U67:U130" si="10">L67*M67</f>
        <v>30157.68</v>
      </c>
      <c r="V67" t="str">
        <f t="shared" ref="V67:V130" si="11">IF(N67&gt;10,"Heavy","Normal")</f>
        <v>Normal</v>
      </c>
      <c r="W67" t="str" cm="1">
        <f t="array" ref="W67">_xlfn.IFS(O67&gt;=7000,"Excellent",O67&gt;=4000,"Good",O67&lt;4000,"Average")</f>
        <v>Excellent</v>
      </c>
    </row>
    <row r="68" spans="1:23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42.091500000000003</v>
      </c>
      <c r="Q68" s="1">
        <f t="shared" si="7"/>
        <v>238.51850000000002</v>
      </c>
      <c r="R68" s="1" t="str">
        <f t="shared" si="8"/>
        <v>low</v>
      </c>
      <c r="S68" s="1" t="str" cm="1">
        <f t="array" ref="S68">_xlfn.IFS(L68&gt;5,"high",L68=5,"medium",L68&lt;5,"low")</f>
        <v>low</v>
      </c>
      <c r="T68" s="5" t="str">
        <f t="shared" si="9"/>
        <v>low</v>
      </c>
      <c r="U68" s="1">
        <f t="shared" si="10"/>
        <v>330.13</v>
      </c>
      <c r="V68" t="str">
        <f t="shared" si="11"/>
        <v>Heavy</v>
      </c>
      <c r="W68" t="str" cm="1">
        <f t="array" ref="W68">_xlfn.IFS(O68&gt;=7000,"Excellent",O68&gt;=4000,"Good",O68&lt;4000,"Average")</f>
        <v>Average</v>
      </c>
    </row>
    <row r="69" spans="1:23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0</v>
      </c>
      <c r="Q69" s="1">
        <f t="shared" si="7"/>
        <v>8283.9599999999991</v>
      </c>
      <c r="R69" s="1" t="str">
        <f t="shared" si="8"/>
        <v>high</v>
      </c>
      <c r="S69" s="1" t="str" cm="1">
        <f t="array" ref="S69">_xlfn.IFS(L69&gt;5,"high",L69=5,"medium",L69&lt;5,"low")</f>
        <v>high</v>
      </c>
      <c r="T69" s="5" t="str">
        <f t="shared" si="9"/>
        <v>high</v>
      </c>
      <c r="U69" s="1">
        <f t="shared" si="10"/>
        <v>8283.9600000000009</v>
      </c>
      <c r="V69" t="str">
        <f t="shared" si="11"/>
        <v>Normal</v>
      </c>
      <c r="W69" t="str" cm="1">
        <f t="array" ref="W69">_xlfn.IFS(O69&gt;=7000,"Excellent",O69&gt;=4000,"Good",O69&lt;4000,"Average")</f>
        <v>Excellent</v>
      </c>
    </row>
    <row r="70" spans="1:23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523.53950000000009</v>
      </c>
      <c r="Q70" s="1">
        <f t="shared" si="7"/>
        <v>9947.2505000000001</v>
      </c>
      <c r="R70" s="1" t="str">
        <f t="shared" si="8"/>
        <v>high</v>
      </c>
      <c r="S70" s="1" t="str" cm="1">
        <f t="array" ref="S70">_xlfn.IFS(L70&gt;5,"high",L70=5,"medium",L70&lt;5,"low")</f>
        <v>high</v>
      </c>
      <c r="T70" s="5" t="str">
        <f t="shared" si="9"/>
        <v>high</v>
      </c>
      <c r="U70" s="1">
        <f t="shared" si="10"/>
        <v>11021.880000000001</v>
      </c>
      <c r="V70" t="str">
        <f t="shared" si="11"/>
        <v>Normal</v>
      </c>
      <c r="W70" t="str" cm="1">
        <f t="array" ref="W70">_xlfn.IFS(O70&gt;=7000,"Excellent",O70&gt;=4000,"Good",O70&lt;4000,"Average")</f>
        <v>Excellent</v>
      </c>
    </row>
    <row r="71" spans="1:23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2311.7759999999998</v>
      </c>
      <c r="Q71" s="1">
        <f t="shared" si="7"/>
        <v>9247.1039999999994</v>
      </c>
      <c r="R71" s="1" t="str">
        <f t="shared" si="8"/>
        <v>low</v>
      </c>
      <c r="S71" s="1" t="str" cm="1">
        <f t="array" ref="S71">_xlfn.IFS(L71&gt;5,"high",L71=5,"medium",L71&lt;5,"low")</f>
        <v>low</v>
      </c>
      <c r="T71" s="5" t="str">
        <f t="shared" si="9"/>
        <v>low</v>
      </c>
      <c r="U71" s="1">
        <f t="shared" si="10"/>
        <v>14448.6</v>
      </c>
      <c r="V71" t="str">
        <f t="shared" si="11"/>
        <v>Heavy</v>
      </c>
      <c r="W71" t="str" cm="1">
        <f t="array" ref="W71">_xlfn.IFS(O71&gt;=7000,"Excellent",O71&gt;=4000,"Good",O71&lt;4000,"Average")</f>
        <v>Excellent</v>
      </c>
    </row>
    <row r="72" spans="1:23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549.29600000000005</v>
      </c>
      <c r="Q72" s="1">
        <f t="shared" si="7"/>
        <v>10436.624</v>
      </c>
      <c r="R72" s="1" t="str">
        <f t="shared" si="8"/>
        <v>low</v>
      </c>
      <c r="S72" s="1" t="str" cm="1">
        <f t="array" ref="S72">_xlfn.IFS(L72&gt;5,"high",L72=5,"medium",L72&lt;5,"low")</f>
        <v>low</v>
      </c>
      <c r="T72" s="5" t="str">
        <f t="shared" si="9"/>
        <v>low</v>
      </c>
      <c r="U72" s="1">
        <f t="shared" si="10"/>
        <v>11564.130000000001</v>
      </c>
      <c r="V72" t="str">
        <f t="shared" si="11"/>
        <v>Normal</v>
      </c>
      <c r="W72" t="str" cm="1">
        <f t="array" ref="W72">_xlfn.IFS(O72&gt;=7000,"Excellent",O72&gt;=4000,"Good",O72&lt;4000,"Average")</f>
        <v>Excellent</v>
      </c>
    </row>
    <row r="73" spans="1:23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711.38850000000002</v>
      </c>
      <c r="Q73" s="1">
        <f t="shared" si="7"/>
        <v>4031.2015000000001</v>
      </c>
      <c r="R73" s="1" t="str">
        <f t="shared" si="8"/>
        <v>low</v>
      </c>
      <c r="S73" s="1" t="str" cm="1">
        <f t="array" ref="S73">_xlfn.IFS(L73&gt;5,"high",L73=5,"medium",L73&lt;5,"low")</f>
        <v>low</v>
      </c>
      <c r="T73" s="5" t="str">
        <f t="shared" si="9"/>
        <v>low</v>
      </c>
      <c r="U73" s="1">
        <f t="shared" si="10"/>
        <v>5579.5199999999995</v>
      </c>
      <c r="V73" t="str">
        <f t="shared" si="11"/>
        <v>Heavy</v>
      </c>
      <c r="W73" t="str" cm="1">
        <f t="array" ref="W73">_xlfn.IFS(O73&gt;=7000,"Excellent",O73&gt;=4000,"Good",O73&lt;4000,"Average")</f>
        <v>Good</v>
      </c>
    </row>
    <row r="74" spans="1:23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144.28650000000002</v>
      </c>
      <c r="Q74" s="1">
        <f t="shared" si="7"/>
        <v>2741.4434999999999</v>
      </c>
      <c r="R74" s="1" t="str">
        <f t="shared" si="8"/>
        <v>low</v>
      </c>
      <c r="S74" s="1" t="str" cm="1">
        <f t="array" ref="S74">_xlfn.IFS(L74&gt;5,"high",L74=5,"medium",L74&lt;5,"low")</f>
        <v>low</v>
      </c>
      <c r="T74" s="5" t="str">
        <f t="shared" si="9"/>
        <v>low</v>
      </c>
      <c r="U74" s="1">
        <f t="shared" si="10"/>
        <v>3037.61</v>
      </c>
      <c r="V74" t="str">
        <f t="shared" si="11"/>
        <v>Normal</v>
      </c>
      <c r="W74" t="str" cm="1">
        <f t="array" ref="W74">_xlfn.IFS(O74&gt;=7000,"Excellent",O74&gt;=4000,"Good",O74&lt;4000,"Average")</f>
        <v>Average</v>
      </c>
    </row>
    <row r="75" spans="1:23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0</v>
      </c>
      <c r="Q75" s="1">
        <f t="shared" si="7"/>
        <v>6590.67</v>
      </c>
      <c r="R75" s="1" t="str">
        <f t="shared" si="8"/>
        <v>low</v>
      </c>
      <c r="S75" s="1" t="str" cm="1">
        <f t="array" ref="S75">_xlfn.IFS(L75&gt;5,"high",L75=5,"medium",L75&lt;5,"low")</f>
        <v>low</v>
      </c>
      <c r="T75" s="5" t="str">
        <f t="shared" si="9"/>
        <v>low</v>
      </c>
      <c r="U75" s="1">
        <f t="shared" si="10"/>
        <v>6590.67</v>
      </c>
      <c r="V75" t="str">
        <f t="shared" si="11"/>
        <v>Normal</v>
      </c>
      <c r="W75" t="str" cm="1">
        <f t="array" ref="W75">_xlfn.IFS(O75&gt;=7000,"Excellent",O75&gt;=4000,"Good",O75&lt;4000,"Average")</f>
        <v>Good</v>
      </c>
    </row>
    <row r="76" spans="1:23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0</v>
      </c>
      <c r="Q76" s="1">
        <f t="shared" si="7"/>
        <v>8881.84</v>
      </c>
      <c r="R76" s="1" t="str">
        <f t="shared" si="8"/>
        <v>low</v>
      </c>
      <c r="S76" s="1" t="str" cm="1">
        <f t="array" ref="S76">_xlfn.IFS(L76&gt;5,"high",L76=5,"medium",L76&lt;5,"low")</f>
        <v>low</v>
      </c>
      <c r="T76" s="5" t="str">
        <f t="shared" si="9"/>
        <v>low</v>
      </c>
      <c r="U76" s="1">
        <f t="shared" si="10"/>
        <v>8881.84</v>
      </c>
      <c r="V76" t="str">
        <f t="shared" si="11"/>
        <v>Normal</v>
      </c>
      <c r="W76" t="str" cm="1">
        <f t="array" ref="W76">_xlfn.IFS(O76&gt;=7000,"Excellent",O76&gt;=4000,"Good",O76&lt;4000,"Average")</f>
        <v>Excellent</v>
      </c>
    </row>
    <row r="77" spans="1:23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976.5440000000001</v>
      </c>
      <c r="Q77" s="1">
        <f t="shared" si="7"/>
        <v>3906.1760000000004</v>
      </c>
      <c r="R77" s="1" t="str">
        <f t="shared" si="8"/>
        <v>high</v>
      </c>
      <c r="S77" s="1" t="str" cm="1">
        <f t="array" ref="S77">_xlfn.IFS(L77&gt;5,"high",L77=5,"medium",L77&lt;5,"low")</f>
        <v>medium</v>
      </c>
      <c r="T77" s="5" t="str">
        <f t="shared" si="9"/>
        <v>medium</v>
      </c>
      <c r="U77" s="1">
        <f t="shared" si="10"/>
        <v>6103.4000000000005</v>
      </c>
      <c r="V77" t="str">
        <f t="shared" si="11"/>
        <v>Heavy</v>
      </c>
      <c r="W77" t="str" cm="1">
        <f t="array" ref="W77">_xlfn.IFS(O77&gt;=7000,"Excellent",O77&gt;=4000,"Good",O77&lt;4000,"Average")</f>
        <v>Good</v>
      </c>
    </row>
    <row r="78" spans="1:23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266.02600000000001</v>
      </c>
      <c r="Q78" s="1">
        <f t="shared" si="7"/>
        <v>2394.2340000000004</v>
      </c>
      <c r="R78" s="1" t="str">
        <f t="shared" si="8"/>
        <v>low</v>
      </c>
      <c r="S78" s="1" t="str" cm="1">
        <f t="array" ref="S78">_xlfn.IFS(L78&gt;5,"high",L78=5,"medium",L78&lt;5,"low")</f>
        <v>low</v>
      </c>
      <c r="T78" s="5" t="str">
        <f t="shared" si="9"/>
        <v>low</v>
      </c>
      <c r="U78" s="1">
        <f t="shared" si="10"/>
        <v>2955.84</v>
      </c>
      <c r="V78" t="str">
        <f t="shared" si="11"/>
        <v>Normal</v>
      </c>
      <c r="W78" t="str" cm="1">
        <f t="array" ref="W78">_xlfn.IFS(O78&gt;=7000,"Excellent",O78&gt;=4000,"Good",O78&lt;4000,"Average")</f>
        <v>Average</v>
      </c>
    </row>
    <row r="79" spans="1:23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962.99699999999984</v>
      </c>
      <c r="Q79" s="1">
        <f t="shared" si="7"/>
        <v>5456.9830000000002</v>
      </c>
      <c r="R79" s="1" t="str">
        <f t="shared" si="8"/>
        <v>high</v>
      </c>
      <c r="S79" s="1" t="str" cm="1">
        <f t="array" ref="S79">_xlfn.IFS(L79&gt;5,"high",L79=5,"medium",L79&lt;5,"low")</f>
        <v>high</v>
      </c>
      <c r="T79" s="5" t="str">
        <f t="shared" si="9"/>
        <v>high</v>
      </c>
      <c r="U79" s="1">
        <f t="shared" si="10"/>
        <v>7552.92</v>
      </c>
      <c r="V79" t="str">
        <f t="shared" si="11"/>
        <v>Heavy</v>
      </c>
      <c r="W79" t="str" cm="1">
        <f t="array" ref="W79">_xlfn.IFS(O79&gt;=7000,"Excellent",O79&gt;=4000,"Good",O79&lt;4000,"Average")</f>
        <v>Good</v>
      </c>
    </row>
    <row r="80" spans="1:23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1461.06</v>
      </c>
      <c r="Q80" s="1">
        <f t="shared" si="7"/>
        <v>8279.34</v>
      </c>
      <c r="R80" s="1" t="str">
        <f t="shared" si="8"/>
        <v>high</v>
      </c>
      <c r="S80" s="1" t="str" cm="1">
        <f t="array" ref="S80">_xlfn.IFS(L80&gt;5,"high",L80=5,"medium",L80&lt;5,"low")</f>
        <v>medium</v>
      </c>
      <c r="T80" s="5" t="str">
        <f t="shared" si="9"/>
        <v>medium</v>
      </c>
      <c r="U80" s="1">
        <f t="shared" si="10"/>
        <v>11459.300000000001</v>
      </c>
      <c r="V80" t="str">
        <f t="shared" si="11"/>
        <v>Heavy</v>
      </c>
      <c r="W80" t="str" cm="1">
        <f t="array" ref="W80">_xlfn.IFS(O80&gt;=7000,"Excellent",O80&gt;=4000,"Good",O80&lt;4000,"Average")</f>
        <v>Excellent</v>
      </c>
    </row>
    <row r="81" spans="1:23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70.807000000000002</v>
      </c>
      <c r="Q81" s="1">
        <f t="shared" si="7"/>
        <v>637.26300000000003</v>
      </c>
      <c r="R81" s="1" t="str">
        <f t="shared" si="8"/>
        <v>low</v>
      </c>
      <c r="S81" s="1" t="str" cm="1">
        <f t="array" ref="S81">_xlfn.IFS(L81&gt;5,"high",L81=5,"medium",L81&lt;5,"low")</f>
        <v>low</v>
      </c>
      <c r="T81" s="5" t="str">
        <f t="shared" si="9"/>
        <v>low</v>
      </c>
      <c r="U81" s="1">
        <f t="shared" si="10"/>
        <v>786.75</v>
      </c>
      <c r="V81" t="str">
        <f t="shared" si="11"/>
        <v>Normal</v>
      </c>
      <c r="W81" t="str" cm="1">
        <f t="array" ref="W81">_xlfn.IFS(O81&gt;=7000,"Excellent",O81&gt;=4000,"Good",O81&lt;4000,"Average")</f>
        <v>Average</v>
      </c>
    </row>
    <row r="82" spans="1:23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0</v>
      </c>
      <c r="Q82" s="1">
        <f t="shared" si="7"/>
        <v>21857.46</v>
      </c>
      <c r="R82" s="1" t="str">
        <f t="shared" si="8"/>
        <v>high</v>
      </c>
      <c r="S82" s="1" t="str" cm="1">
        <f t="array" ref="S82">_xlfn.IFS(L82&gt;5,"high",L82=5,"medium",L82&lt;5,"low")</f>
        <v>high</v>
      </c>
      <c r="T82" s="5" t="str">
        <f t="shared" si="9"/>
        <v>high</v>
      </c>
      <c r="U82" s="1">
        <f t="shared" si="10"/>
        <v>21857.46</v>
      </c>
      <c r="V82" t="str">
        <f t="shared" si="11"/>
        <v>Normal</v>
      </c>
      <c r="W82" t="str" cm="1">
        <f t="array" ref="W82">_xlfn.IFS(O82&gt;=7000,"Excellent",O82&gt;=4000,"Good",O82&lt;4000,"Average")</f>
        <v>Excellent</v>
      </c>
    </row>
    <row r="83" spans="1:23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0</v>
      </c>
      <c r="Q83" s="1">
        <f t="shared" si="7"/>
        <v>4510.1400000000003</v>
      </c>
      <c r="R83" s="1" t="str">
        <f t="shared" si="8"/>
        <v>high</v>
      </c>
      <c r="S83" s="1" t="str" cm="1">
        <f t="array" ref="S83">_xlfn.IFS(L83&gt;5,"high",L83=5,"medium",L83&lt;5,"low")</f>
        <v>high</v>
      </c>
      <c r="T83" s="5" t="str">
        <f t="shared" si="9"/>
        <v>high</v>
      </c>
      <c r="U83" s="1">
        <f t="shared" si="10"/>
        <v>4510.1400000000003</v>
      </c>
      <c r="V83" t="str">
        <f t="shared" si="11"/>
        <v>Normal</v>
      </c>
      <c r="W83" t="str" cm="1">
        <f t="array" ref="W83">_xlfn.IFS(O83&gt;=7000,"Excellent",O83&gt;=4000,"Good",O83&lt;4000,"Average")</f>
        <v>Good</v>
      </c>
    </row>
    <row r="84" spans="1:23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378.98900000000003</v>
      </c>
      <c r="Q84" s="1">
        <f t="shared" si="7"/>
        <v>7200.7909999999993</v>
      </c>
      <c r="R84" s="1" t="str">
        <f t="shared" si="8"/>
        <v>high</v>
      </c>
      <c r="S84" s="1" t="str" cm="1">
        <f t="array" ref="S84">_xlfn.IFS(L84&gt;5,"high",L84=5,"medium",L84&lt;5,"low")</f>
        <v>high</v>
      </c>
      <c r="T84" s="5" t="str">
        <f t="shared" si="9"/>
        <v>high</v>
      </c>
      <c r="U84" s="1">
        <f t="shared" si="10"/>
        <v>7978.72</v>
      </c>
      <c r="V84" t="str">
        <f t="shared" si="11"/>
        <v>Normal</v>
      </c>
      <c r="W84" t="str" cm="1">
        <f t="array" ref="W84">_xlfn.IFS(O84&gt;=7000,"Excellent",O84&gt;=4000,"Good",O84&lt;4000,"Average")</f>
        <v>Excellent</v>
      </c>
    </row>
    <row r="85" spans="1:23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686.51600000000008</v>
      </c>
      <c r="Q85" s="1">
        <f t="shared" si="7"/>
        <v>2746.0639999999999</v>
      </c>
      <c r="R85" s="1" t="str">
        <f t="shared" si="8"/>
        <v>low</v>
      </c>
      <c r="S85" s="1" t="str" cm="1">
        <f t="array" ref="S85">_xlfn.IFS(L85&gt;5,"high",L85=5,"medium",L85&lt;5,"low")</f>
        <v>low</v>
      </c>
      <c r="T85" s="5" t="str">
        <f t="shared" si="9"/>
        <v>low</v>
      </c>
      <c r="U85" s="1">
        <f t="shared" si="10"/>
        <v>4290.72</v>
      </c>
      <c r="V85" t="str">
        <f t="shared" si="11"/>
        <v>Heavy</v>
      </c>
      <c r="W85" t="str" cm="1">
        <f t="array" ref="W85">_xlfn.IFS(O85&gt;=7000,"Excellent",O85&gt;=4000,"Good",O85&lt;4000,"Average")</f>
        <v>Average</v>
      </c>
    </row>
    <row r="86" spans="1:23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461.43000000000006</v>
      </c>
      <c r="Q86" s="1">
        <f t="shared" si="7"/>
        <v>1845.72</v>
      </c>
      <c r="R86" s="1" t="str">
        <f t="shared" si="8"/>
        <v>low</v>
      </c>
      <c r="S86" s="1" t="str" cm="1">
        <f t="array" ref="S86">_xlfn.IFS(L86&gt;5,"high",L86=5,"medium",L86&lt;5,"low")</f>
        <v>low</v>
      </c>
      <c r="T86" s="5" t="str">
        <f t="shared" si="9"/>
        <v>low</v>
      </c>
      <c r="U86" s="1">
        <f t="shared" si="10"/>
        <v>2883.94</v>
      </c>
      <c r="V86" t="str">
        <f t="shared" si="11"/>
        <v>Heavy</v>
      </c>
      <c r="W86" t="str" cm="1">
        <f t="array" ref="W86">_xlfn.IFS(O86&gt;=7000,"Excellent",O86&gt;=4000,"Good",O86&lt;4000,"Average")</f>
        <v>Average</v>
      </c>
    </row>
    <row r="87" spans="1:23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331.87800000000004</v>
      </c>
      <c r="Q87" s="1">
        <f t="shared" si="7"/>
        <v>1327.5120000000002</v>
      </c>
      <c r="R87" s="1" t="str">
        <f t="shared" si="8"/>
        <v>low</v>
      </c>
      <c r="S87" s="1" t="str" cm="1">
        <f t="array" ref="S87">_xlfn.IFS(L87&gt;5,"high",L87=5,"medium",L87&lt;5,"low")</f>
        <v>low</v>
      </c>
      <c r="T87" s="5" t="str">
        <f t="shared" si="9"/>
        <v>low</v>
      </c>
      <c r="U87" s="1">
        <f t="shared" si="10"/>
        <v>2074.2399999999998</v>
      </c>
      <c r="V87" t="str">
        <f t="shared" si="11"/>
        <v>Heavy</v>
      </c>
      <c r="W87" t="str" cm="1">
        <f t="array" ref="W87">_xlfn.IFS(O87&gt;=7000,"Excellent",O87&gt;=4000,"Good",O87&lt;4000,"Average")</f>
        <v>Average</v>
      </c>
    </row>
    <row r="88" spans="1:23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456.5625</v>
      </c>
      <c r="Q88" s="1">
        <f t="shared" si="7"/>
        <v>8674.6875</v>
      </c>
      <c r="R88" s="1" t="str">
        <f t="shared" si="8"/>
        <v>high</v>
      </c>
      <c r="S88" s="1" t="str" cm="1">
        <f t="array" ref="S88">_xlfn.IFS(L88&gt;5,"high",L88=5,"medium",L88&lt;5,"low")</f>
        <v>high</v>
      </c>
      <c r="T88" s="5" t="str">
        <f t="shared" si="9"/>
        <v>high</v>
      </c>
      <c r="U88" s="1">
        <f t="shared" si="10"/>
        <v>9611.84</v>
      </c>
      <c r="V88" t="str">
        <f t="shared" si="11"/>
        <v>Normal</v>
      </c>
      <c r="W88" t="str" cm="1">
        <f t="array" ref="W88">_xlfn.IFS(O88&gt;=7000,"Excellent",O88&gt;=4000,"Good",O88&lt;4000,"Average")</f>
        <v>Excellent</v>
      </c>
    </row>
    <row r="89" spans="1:23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1862.1120000000001</v>
      </c>
      <c r="Q89" s="1">
        <f t="shared" si="7"/>
        <v>7448.4479999999994</v>
      </c>
      <c r="R89" s="1" t="str">
        <f t="shared" si="8"/>
        <v>low</v>
      </c>
      <c r="S89" s="1" t="str" cm="1">
        <f t="array" ref="S89">_xlfn.IFS(L89&gt;5,"high",L89=5,"medium",L89&lt;5,"low")</f>
        <v>low</v>
      </c>
      <c r="T89" s="5" t="str">
        <f t="shared" si="9"/>
        <v>low</v>
      </c>
      <c r="U89" s="1">
        <f t="shared" si="10"/>
        <v>11638.2</v>
      </c>
      <c r="V89" t="str">
        <f t="shared" si="11"/>
        <v>Heavy</v>
      </c>
      <c r="W89" t="str" cm="1">
        <f t="array" ref="W89">_xlfn.IFS(O89&gt;=7000,"Excellent",O89&gt;=4000,"Good",O89&lt;4000,"Average")</f>
        <v>Excellent</v>
      </c>
    </row>
    <row r="90" spans="1:23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313.20500000000004</v>
      </c>
      <c r="Q90" s="1">
        <f t="shared" si="7"/>
        <v>2818.8450000000003</v>
      </c>
      <c r="R90" s="1" t="str">
        <f t="shared" si="8"/>
        <v>low</v>
      </c>
      <c r="S90" s="1" t="str" cm="1">
        <f t="array" ref="S90">_xlfn.IFS(L90&gt;5,"high",L90=5,"medium",L90&lt;5,"low")</f>
        <v>low</v>
      </c>
      <c r="T90" s="5" t="str">
        <f t="shared" si="9"/>
        <v>low</v>
      </c>
      <c r="U90" s="1">
        <f t="shared" si="10"/>
        <v>3480.06</v>
      </c>
      <c r="V90" t="str">
        <f t="shared" si="11"/>
        <v>Normal</v>
      </c>
      <c r="W90" t="str" cm="1">
        <f t="array" ref="W90">_xlfn.IFS(O90&gt;=7000,"Excellent",O90&gt;=4000,"Good",O90&lt;4000,"Average")</f>
        <v>Average</v>
      </c>
    </row>
    <row r="91" spans="1:23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321.86950000000002</v>
      </c>
      <c r="Q91" s="1">
        <f t="shared" si="7"/>
        <v>6115.5205000000005</v>
      </c>
      <c r="R91" s="1" t="str">
        <f t="shared" si="8"/>
        <v>high</v>
      </c>
      <c r="S91" s="1" t="str" cm="1">
        <f t="array" ref="S91">_xlfn.IFS(L91&gt;5,"high",L91=5,"medium",L91&lt;5,"low")</f>
        <v>medium</v>
      </c>
      <c r="T91" s="5" t="str">
        <f t="shared" si="9"/>
        <v>medium</v>
      </c>
      <c r="U91" s="1">
        <f t="shared" si="10"/>
        <v>6776.2</v>
      </c>
      <c r="V91" t="str">
        <f t="shared" si="11"/>
        <v>Normal</v>
      </c>
      <c r="W91" t="str" cm="1">
        <f t="array" ref="W91">_xlfn.IFS(O91&gt;=7000,"Excellent",O91&gt;=4000,"Good",O91&lt;4000,"Average")</f>
        <v>Good</v>
      </c>
    </row>
    <row r="92" spans="1:23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1516.7340000000002</v>
      </c>
      <c r="Q92" s="1">
        <f t="shared" si="7"/>
        <v>13650.606</v>
      </c>
      <c r="R92" s="1" t="str">
        <f t="shared" si="8"/>
        <v>high</v>
      </c>
      <c r="S92" s="1" t="str" cm="1">
        <f t="array" ref="S92">_xlfn.IFS(L92&gt;5,"high",L92=5,"medium",L92&lt;5,"low")</f>
        <v>medium</v>
      </c>
      <c r="T92" s="5" t="str">
        <f t="shared" si="9"/>
        <v>medium</v>
      </c>
      <c r="U92" s="1">
        <f t="shared" si="10"/>
        <v>16852.599999999999</v>
      </c>
      <c r="V92" t="str">
        <f t="shared" si="11"/>
        <v>Normal</v>
      </c>
      <c r="W92" t="str" cm="1">
        <f t="array" ref="W92">_xlfn.IFS(O92&gt;=7000,"Excellent",O92&gt;=4000,"Good",O92&lt;4000,"Average")</f>
        <v>Excellent</v>
      </c>
    </row>
    <row r="93" spans="1:23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48.924500000000002</v>
      </c>
      <c r="Q93" s="1">
        <f t="shared" si="7"/>
        <v>929.56550000000004</v>
      </c>
      <c r="R93" s="1" t="str">
        <f t="shared" si="8"/>
        <v>low</v>
      </c>
      <c r="S93" s="1" t="str" cm="1">
        <f t="array" ref="S93">_xlfn.IFS(L93&gt;5,"high",L93=5,"medium",L93&lt;5,"low")</f>
        <v>low</v>
      </c>
      <c r="T93" s="5" t="str">
        <f t="shared" si="9"/>
        <v>low</v>
      </c>
      <c r="U93" s="1">
        <f t="shared" si="10"/>
        <v>1029.99</v>
      </c>
      <c r="V93" t="str">
        <f t="shared" si="11"/>
        <v>Normal</v>
      </c>
      <c r="W93" t="str" cm="1">
        <f t="array" ref="W93">_xlfn.IFS(O93&gt;=7000,"Excellent",O93&gt;=4000,"Good",O93&lt;4000,"Average")</f>
        <v>Average</v>
      </c>
    </row>
    <row r="94" spans="1:23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2791.8140000000003</v>
      </c>
      <c r="Q94" s="1">
        <f t="shared" si="7"/>
        <v>11167.255999999999</v>
      </c>
      <c r="R94" s="1" t="str">
        <f t="shared" si="8"/>
        <v>high</v>
      </c>
      <c r="S94" s="1" t="str" cm="1">
        <f t="array" ref="S94">_xlfn.IFS(L94&gt;5,"high",L94=5,"medium",L94&lt;5,"low")</f>
        <v>high</v>
      </c>
      <c r="T94" s="5" t="str">
        <f t="shared" si="9"/>
        <v>high</v>
      </c>
      <c r="U94" s="1">
        <f t="shared" si="10"/>
        <v>17448.84</v>
      </c>
      <c r="V94" t="str">
        <f t="shared" si="11"/>
        <v>Heavy</v>
      </c>
      <c r="W94" t="str" cm="1">
        <f t="array" ref="W94">_xlfn.IFS(O94&gt;=7000,"Excellent",O94&gt;=4000,"Good",O94&lt;4000,"Average")</f>
        <v>Excellent</v>
      </c>
    </row>
    <row r="95" spans="1:23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580.14700000000005</v>
      </c>
      <c r="Q95" s="1">
        <f t="shared" si="7"/>
        <v>5221.3230000000003</v>
      </c>
      <c r="R95" s="1" t="str">
        <f t="shared" si="8"/>
        <v>low</v>
      </c>
      <c r="S95" s="1" t="str" cm="1">
        <f t="array" ref="S95">_xlfn.IFS(L95&gt;5,"high",L95=5,"medium",L95&lt;5,"low")</f>
        <v>low</v>
      </c>
      <c r="T95" s="5" t="str">
        <f t="shared" si="9"/>
        <v>low</v>
      </c>
      <c r="U95" s="1">
        <f t="shared" si="10"/>
        <v>6446.08</v>
      </c>
      <c r="V95" t="str">
        <f t="shared" si="11"/>
        <v>Normal</v>
      </c>
      <c r="W95" t="str" cm="1">
        <f t="array" ref="W95">_xlfn.IFS(O95&gt;=7000,"Excellent",O95&gt;=4000,"Good",O95&lt;4000,"Average")</f>
        <v>Good</v>
      </c>
    </row>
    <row r="96" spans="1:23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369.59200000000004</v>
      </c>
      <c r="Q96" s="1">
        <f t="shared" si="7"/>
        <v>3326.328</v>
      </c>
      <c r="R96" s="1" t="str">
        <f t="shared" si="8"/>
        <v>low</v>
      </c>
      <c r="S96" s="1" t="str" cm="1">
        <f t="array" ref="S96">_xlfn.IFS(L96&gt;5,"high",L96=5,"medium",L96&lt;5,"low")</f>
        <v>low</v>
      </c>
      <c r="T96" s="5" t="str">
        <f t="shared" si="9"/>
        <v>low</v>
      </c>
      <c r="U96" s="1">
        <f t="shared" si="10"/>
        <v>4106.58</v>
      </c>
      <c r="V96" t="str">
        <f t="shared" si="11"/>
        <v>Normal</v>
      </c>
      <c r="W96" t="str" cm="1">
        <f t="array" ref="W96">_xlfn.IFS(O96&gt;=7000,"Excellent",O96&gt;=4000,"Good",O96&lt;4000,"Average")</f>
        <v>Average</v>
      </c>
    </row>
    <row r="97" spans="1:23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224.989</v>
      </c>
      <c r="Q97" s="1">
        <f t="shared" si="7"/>
        <v>2024.9009999999998</v>
      </c>
      <c r="R97" s="1" t="str">
        <f t="shared" si="8"/>
        <v>low</v>
      </c>
      <c r="S97" s="1" t="str" cm="1">
        <f t="array" ref="S97">_xlfn.IFS(L97&gt;5,"high",L97=5,"medium",L97&lt;5,"low")</f>
        <v>low</v>
      </c>
      <c r="T97" s="5" t="str">
        <f t="shared" si="9"/>
        <v>low</v>
      </c>
      <c r="U97" s="1">
        <f t="shared" si="10"/>
        <v>2499.88</v>
      </c>
      <c r="V97" t="str">
        <f t="shared" si="11"/>
        <v>Normal</v>
      </c>
      <c r="W97" t="str" cm="1">
        <f t="array" ref="W97">_xlfn.IFS(O97&gt;=7000,"Excellent",O97&gt;=4000,"Good",O97&lt;4000,"Average")</f>
        <v>Average</v>
      </c>
    </row>
    <row r="98" spans="1:23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214.51500000000001</v>
      </c>
      <c r="Q98" s="1">
        <f t="shared" si="7"/>
        <v>4075.7850000000003</v>
      </c>
      <c r="R98" s="1" t="str">
        <f t="shared" si="8"/>
        <v>high</v>
      </c>
      <c r="S98" s="1" t="str" cm="1">
        <f t="array" ref="S98">_xlfn.IFS(L98&gt;5,"high",L98=5,"medium",L98&lt;5,"low")</f>
        <v>high</v>
      </c>
      <c r="T98" s="5" t="str">
        <f t="shared" si="9"/>
        <v>high</v>
      </c>
      <c r="U98" s="1">
        <f t="shared" si="10"/>
        <v>4516.1100000000006</v>
      </c>
      <c r="V98" t="str">
        <f t="shared" si="11"/>
        <v>Normal</v>
      </c>
      <c r="W98" t="str" cm="1">
        <f t="array" ref="W98">_xlfn.IFS(O98&gt;=7000,"Excellent",O98&gt;=4000,"Good",O98&lt;4000,"Average")</f>
        <v>Good</v>
      </c>
    </row>
    <row r="99" spans="1:23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694.66049999999996</v>
      </c>
      <c r="Q99" s="1">
        <f t="shared" si="7"/>
        <v>3936.4094999999998</v>
      </c>
      <c r="R99" s="1" t="str">
        <f t="shared" si="8"/>
        <v>low</v>
      </c>
      <c r="S99" s="1" t="str" cm="1">
        <f t="array" ref="S99">_xlfn.IFS(L99&gt;5,"high",L99=5,"medium",L99&lt;5,"low")</f>
        <v>low</v>
      </c>
      <c r="T99" s="5" t="str">
        <f t="shared" si="9"/>
        <v>low</v>
      </c>
      <c r="U99" s="1">
        <f t="shared" si="10"/>
        <v>5448.32</v>
      </c>
      <c r="V99" t="str">
        <f t="shared" si="11"/>
        <v>Heavy</v>
      </c>
      <c r="W99" t="str" cm="1">
        <f t="array" ref="W99">_xlfn.IFS(O99&gt;=7000,"Excellent",O99&gt;=4000,"Good",O99&lt;4000,"Average")</f>
        <v>Good</v>
      </c>
    </row>
    <row r="100" spans="1:23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151.56</v>
      </c>
      <c r="Q100" s="1">
        <f t="shared" si="7"/>
        <v>606.24</v>
      </c>
      <c r="R100" s="1" t="str">
        <f t="shared" si="8"/>
        <v>low</v>
      </c>
      <c r="S100" s="1" t="str" cm="1">
        <f t="array" ref="S100">_xlfn.IFS(L100&gt;5,"high",L100=5,"medium",L100&lt;5,"low")</f>
        <v>low</v>
      </c>
      <c r="T100" s="5" t="str">
        <f t="shared" si="9"/>
        <v>low</v>
      </c>
      <c r="U100" s="1">
        <f t="shared" si="10"/>
        <v>947.25</v>
      </c>
      <c r="V100" t="str">
        <f t="shared" si="11"/>
        <v>Heavy</v>
      </c>
      <c r="W100" t="str" cm="1">
        <f t="array" ref="W100">_xlfn.IFS(O100&gt;=7000,"Excellent",O100&gt;=4000,"Good",O100&lt;4000,"Average")</f>
        <v>Average</v>
      </c>
    </row>
    <row r="101" spans="1:23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1988.7270000000001</v>
      </c>
      <c r="Q101" s="1">
        <f t="shared" si="7"/>
        <v>17898.543000000001</v>
      </c>
      <c r="R101" s="1" t="str">
        <f t="shared" si="8"/>
        <v>high</v>
      </c>
      <c r="S101" s="1" t="str" cm="1">
        <f t="array" ref="S101">_xlfn.IFS(L101&gt;5,"high",L101=5,"medium",L101&lt;5,"low")</f>
        <v>high</v>
      </c>
      <c r="T101" s="5" t="str">
        <f t="shared" si="9"/>
        <v>high</v>
      </c>
      <c r="U101" s="1">
        <f t="shared" si="10"/>
        <v>22096.97</v>
      </c>
      <c r="V101" t="str">
        <f t="shared" si="11"/>
        <v>Normal</v>
      </c>
      <c r="W101" t="str" cm="1">
        <f t="array" ref="W101">_xlfn.IFS(O101&gt;=7000,"Excellent",O101&gt;=4000,"Good",O101&lt;4000,"Average")</f>
        <v>Excellent</v>
      </c>
    </row>
    <row r="102" spans="1:23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1716.8430000000001</v>
      </c>
      <c r="Q102" s="1">
        <f t="shared" si="7"/>
        <v>9728.777</v>
      </c>
      <c r="R102" s="1" t="str">
        <f t="shared" si="8"/>
        <v>high</v>
      </c>
      <c r="S102" s="1" t="str" cm="1">
        <f t="array" ref="S102">_xlfn.IFS(L102&gt;5,"high",L102=5,"medium",L102&lt;5,"low")</f>
        <v>high</v>
      </c>
      <c r="T102" s="5" t="str">
        <f t="shared" si="9"/>
        <v>high</v>
      </c>
      <c r="U102" s="1">
        <f t="shared" si="10"/>
        <v>13465.44</v>
      </c>
      <c r="V102" t="str">
        <f t="shared" si="11"/>
        <v>Heavy</v>
      </c>
      <c r="W102" t="str" cm="1">
        <f t="array" ref="W102">_xlfn.IFS(O102&gt;=7000,"Excellent",O102&gt;=4000,"Good",O102&lt;4000,"Average")</f>
        <v>Excellent</v>
      </c>
    </row>
    <row r="103" spans="1:23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594.89</v>
      </c>
      <c r="Q103" s="1">
        <f t="shared" si="7"/>
        <v>2379.56</v>
      </c>
      <c r="R103" s="1" t="str">
        <f t="shared" si="8"/>
        <v>low</v>
      </c>
      <c r="S103" s="1" t="str" cm="1">
        <f t="array" ref="S103">_xlfn.IFS(L103&gt;5,"high",L103=5,"medium",L103&lt;5,"low")</f>
        <v>low</v>
      </c>
      <c r="T103" s="5" t="str">
        <f t="shared" si="9"/>
        <v>low</v>
      </c>
      <c r="U103" s="1">
        <f t="shared" si="10"/>
        <v>3718.06</v>
      </c>
      <c r="V103" t="str">
        <f t="shared" si="11"/>
        <v>Heavy</v>
      </c>
      <c r="W103" t="str" cm="1">
        <f t="array" ref="W103">_xlfn.IFS(O103&gt;=7000,"Excellent",O103&gt;=4000,"Good",O103&lt;4000,"Average")</f>
        <v>Average</v>
      </c>
    </row>
    <row r="104" spans="1:23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4021.1800000000003</v>
      </c>
      <c r="Q104" s="1">
        <f t="shared" si="7"/>
        <v>16084.720000000001</v>
      </c>
      <c r="R104" s="1" t="str">
        <f t="shared" si="8"/>
        <v>high</v>
      </c>
      <c r="S104" s="1" t="str" cm="1">
        <f t="array" ref="S104">_xlfn.IFS(L104&gt;5,"high",L104=5,"medium",L104&lt;5,"low")</f>
        <v>high</v>
      </c>
      <c r="T104" s="5" t="str">
        <f t="shared" si="9"/>
        <v>high</v>
      </c>
      <c r="U104" s="1">
        <f t="shared" si="10"/>
        <v>25132.38</v>
      </c>
      <c r="V104" t="str">
        <f t="shared" si="11"/>
        <v>Heavy</v>
      </c>
      <c r="W104" t="str" cm="1">
        <f t="array" ref="W104">_xlfn.IFS(O104&gt;=7000,"Excellent",O104&gt;=4000,"Good",O104&lt;4000,"Average")</f>
        <v>Excellent</v>
      </c>
    </row>
    <row r="105" spans="1:23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1207.5790000000002</v>
      </c>
      <c r="Q105" s="1">
        <f t="shared" si="7"/>
        <v>10868.211000000001</v>
      </c>
      <c r="R105" s="1" t="str">
        <f t="shared" si="8"/>
        <v>high</v>
      </c>
      <c r="S105" s="1" t="str" cm="1">
        <f t="array" ref="S105">_xlfn.IFS(L105&gt;5,"high",L105=5,"medium",L105&lt;5,"low")</f>
        <v>medium</v>
      </c>
      <c r="T105" s="5" t="str">
        <f t="shared" si="9"/>
        <v>medium</v>
      </c>
      <c r="U105" s="1">
        <f t="shared" si="10"/>
        <v>13417.550000000001</v>
      </c>
      <c r="V105" t="str">
        <f t="shared" si="11"/>
        <v>Normal</v>
      </c>
      <c r="W105" t="str" cm="1">
        <f t="array" ref="W105">_xlfn.IFS(O105&gt;=7000,"Excellent",O105&gt;=4000,"Good",O105&lt;4000,"Average")</f>
        <v>Excellent</v>
      </c>
    </row>
    <row r="106" spans="1:23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81.463000000000008</v>
      </c>
      <c r="Q106" s="1">
        <f t="shared" si="7"/>
        <v>733.16700000000003</v>
      </c>
      <c r="R106" s="1" t="str">
        <f t="shared" si="8"/>
        <v>high</v>
      </c>
      <c r="S106" s="1" t="str" cm="1">
        <f t="array" ref="S106">_xlfn.IFS(L106&gt;5,"high",L106=5,"medium",L106&lt;5,"low")</f>
        <v>medium</v>
      </c>
      <c r="T106" s="5" t="str">
        <f t="shared" si="9"/>
        <v>medium</v>
      </c>
      <c r="U106" s="1">
        <f t="shared" si="10"/>
        <v>905.15</v>
      </c>
      <c r="V106" t="str">
        <f t="shared" si="11"/>
        <v>Normal</v>
      </c>
      <c r="W106" t="str" cm="1">
        <f t="array" ref="W106">_xlfn.IFS(O106&gt;=7000,"Excellent",O106&gt;=4000,"Good",O106&lt;4000,"Average")</f>
        <v>Average</v>
      </c>
    </row>
    <row r="107" spans="1:23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538.82399999999996</v>
      </c>
      <c r="Q107" s="1">
        <f t="shared" si="7"/>
        <v>10237.655999999999</v>
      </c>
      <c r="R107" s="1" t="str">
        <f t="shared" si="8"/>
        <v>low</v>
      </c>
      <c r="S107" s="1" t="str" cm="1">
        <f t="array" ref="S107">_xlfn.IFS(L107&gt;5,"high",L107=5,"medium",L107&lt;5,"low")</f>
        <v>low</v>
      </c>
      <c r="T107" s="5" t="str">
        <f t="shared" si="9"/>
        <v>low</v>
      </c>
      <c r="U107" s="1">
        <f t="shared" si="10"/>
        <v>11343.66</v>
      </c>
      <c r="V107" t="str">
        <f t="shared" si="11"/>
        <v>Normal</v>
      </c>
      <c r="W107" t="str" cm="1">
        <f t="array" ref="W107">_xlfn.IFS(O107&gt;=7000,"Excellent",O107&gt;=4000,"Good",O107&lt;4000,"Average")</f>
        <v>Excellent</v>
      </c>
    </row>
    <row r="108" spans="1:23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677.66849999999999</v>
      </c>
      <c r="Q108" s="1">
        <f t="shared" si="7"/>
        <v>3840.1215000000002</v>
      </c>
      <c r="R108" s="1" t="str">
        <f t="shared" si="8"/>
        <v>high</v>
      </c>
      <c r="S108" s="1" t="str" cm="1">
        <f t="array" ref="S108">_xlfn.IFS(L108&gt;5,"high",L108=5,"medium",L108&lt;5,"low")</f>
        <v>medium</v>
      </c>
      <c r="T108" s="5" t="str">
        <f t="shared" si="9"/>
        <v>medium</v>
      </c>
      <c r="U108" s="1">
        <f t="shared" si="10"/>
        <v>5315.05</v>
      </c>
      <c r="V108" t="str">
        <f t="shared" si="11"/>
        <v>Heavy</v>
      </c>
      <c r="W108" t="str" cm="1">
        <f t="array" ref="W108">_xlfn.IFS(O108&gt;=7000,"Excellent",O108&gt;=4000,"Good",O108&lt;4000,"Average")</f>
        <v>Good</v>
      </c>
    </row>
    <row r="109" spans="1:23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143.89949999999999</v>
      </c>
      <c r="Q109" s="1">
        <f t="shared" si="7"/>
        <v>815.43050000000005</v>
      </c>
      <c r="R109" s="1" t="str">
        <f t="shared" si="8"/>
        <v>low</v>
      </c>
      <c r="S109" s="1" t="str" cm="1">
        <f t="array" ref="S109">_xlfn.IFS(L109&gt;5,"high",L109=5,"medium",L109&lt;5,"low")</f>
        <v>low</v>
      </c>
      <c r="T109" s="5" t="str">
        <f t="shared" si="9"/>
        <v>low</v>
      </c>
      <c r="U109" s="1">
        <f t="shared" si="10"/>
        <v>1128.6199999999999</v>
      </c>
      <c r="V109" t="str">
        <f t="shared" si="11"/>
        <v>Heavy</v>
      </c>
      <c r="W109" t="str" cm="1">
        <f t="array" ref="W109">_xlfn.IFS(O109&gt;=7000,"Excellent",O109&gt;=4000,"Good",O109&lt;4000,"Average")</f>
        <v>Average</v>
      </c>
    </row>
    <row r="110" spans="1:23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1118.624</v>
      </c>
      <c r="Q110" s="1">
        <f t="shared" si="7"/>
        <v>10067.616</v>
      </c>
      <c r="R110" s="1" t="str">
        <f t="shared" si="8"/>
        <v>low</v>
      </c>
      <c r="S110" s="1" t="str" cm="1">
        <f t="array" ref="S110">_xlfn.IFS(L110&gt;5,"high",L110=5,"medium",L110&lt;5,"low")</f>
        <v>low</v>
      </c>
      <c r="T110" s="5" t="str">
        <f t="shared" si="9"/>
        <v>low</v>
      </c>
      <c r="U110" s="1">
        <f t="shared" si="10"/>
        <v>12429.16</v>
      </c>
      <c r="V110" t="str">
        <f t="shared" si="11"/>
        <v>Normal</v>
      </c>
      <c r="W110" t="str" cm="1">
        <f t="array" ref="W110">_xlfn.IFS(O110&gt;=7000,"Excellent",O110&gt;=4000,"Good",O110&lt;4000,"Average")</f>
        <v>Excellent</v>
      </c>
    </row>
    <row r="111" spans="1:23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1993.7660000000001</v>
      </c>
      <c r="Q111" s="1">
        <f t="shared" si="7"/>
        <v>7975.0640000000003</v>
      </c>
      <c r="R111" s="1" t="str">
        <f t="shared" si="8"/>
        <v>high</v>
      </c>
      <c r="S111" s="1" t="str" cm="1">
        <f t="array" ref="S111">_xlfn.IFS(L111&gt;5,"high",L111=5,"medium",L111&lt;5,"low")</f>
        <v>high</v>
      </c>
      <c r="T111" s="5" t="str">
        <f t="shared" si="9"/>
        <v>high</v>
      </c>
      <c r="U111" s="1">
        <f t="shared" si="10"/>
        <v>12461.04</v>
      </c>
      <c r="V111" t="str">
        <f t="shared" si="11"/>
        <v>Heavy</v>
      </c>
      <c r="W111" t="str" cm="1">
        <f t="array" ref="W111">_xlfn.IFS(O111&gt;=7000,"Excellent",O111&gt;=4000,"Good",O111&lt;4000,"Average")</f>
        <v>Excellent</v>
      </c>
    </row>
    <row r="112" spans="1:23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163.80200000000002</v>
      </c>
      <c r="Q112" s="1">
        <f t="shared" si="7"/>
        <v>1474.2179999999998</v>
      </c>
      <c r="R112" s="1" t="str">
        <f t="shared" si="8"/>
        <v>low</v>
      </c>
      <c r="S112" s="1" t="str" cm="1">
        <f t="array" ref="S112">_xlfn.IFS(L112&gt;5,"high",L112=5,"medium",L112&lt;5,"low")</f>
        <v>low</v>
      </c>
      <c r="T112" s="5" t="str">
        <f t="shared" si="9"/>
        <v>low</v>
      </c>
      <c r="U112" s="1">
        <f t="shared" si="10"/>
        <v>1820.02</v>
      </c>
      <c r="V112" t="str">
        <f t="shared" si="11"/>
        <v>Normal</v>
      </c>
      <c r="W112" t="str" cm="1">
        <f t="array" ref="W112">_xlfn.IFS(O112&gt;=7000,"Excellent",O112&gt;=4000,"Good",O112&lt;4000,"Average")</f>
        <v>Average</v>
      </c>
    </row>
    <row r="113" spans="1:23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710.77800000000002</v>
      </c>
      <c r="Q113" s="1">
        <f t="shared" si="7"/>
        <v>2843.1120000000001</v>
      </c>
      <c r="R113" s="1" t="str">
        <f t="shared" si="8"/>
        <v>low</v>
      </c>
      <c r="S113" s="1" t="str" cm="1">
        <f t="array" ref="S113">_xlfn.IFS(L113&gt;5,"high",L113=5,"medium",L113&lt;5,"low")</f>
        <v>low</v>
      </c>
      <c r="T113" s="5" t="str">
        <f t="shared" si="9"/>
        <v>low</v>
      </c>
      <c r="U113" s="1">
        <f t="shared" si="10"/>
        <v>4442.3599999999997</v>
      </c>
      <c r="V113" t="str">
        <f t="shared" si="11"/>
        <v>Heavy</v>
      </c>
      <c r="W113" t="str" cm="1">
        <f t="array" ref="W113">_xlfn.IFS(O113&gt;=7000,"Excellent",O113&gt;=4000,"Good",O113&lt;4000,"Average")</f>
        <v>Average</v>
      </c>
    </row>
    <row r="114" spans="1:23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2167.46</v>
      </c>
      <c r="Q114" s="1">
        <f t="shared" si="7"/>
        <v>8669.84</v>
      </c>
      <c r="R114" s="1" t="str">
        <f t="shared" si="8"/>
        <v>high</v>
      </c>
      <c r="S114" s="1" t="str" cm="1">
        <f t="array" ref="S114">_xlfn.IFS(L114&gt;5,"high",L114=5,"medium",L114&lt;5,"low")</f>
        <v>high</v>
      </c>
      <c r="T114" s="5" t="str">
        <f t="shared" si="9"/>
        <v>high</v>
      </c>
      <c r="U114" s="1">
        <f t="shared" si="10"/>
        <v>13546.619999999999</v>
      </c>
      <c r="V114" t="str">
        <f t="shared" si="11"/>
        <v>Heavy</v>
      </c>
      <c r="W114" t="str" cm="1">
        <f t="array" ref="W114">_xlfn.IFS(O114&gt;=7000,"Excellent",O114&gt;=4000,"Good",O114&lt;4000,"Average")</f>
        <v>Excellent</v>
      </c>
    </row>
    <row r="115" spans="1:23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977.16800000000012</v>
      </c>
      <c r="Q115" s="1">
        <f t="shared" si="7"/>
        <v>8794.5120000000006</v>
      </c>
      <c r="R115" s="1" t="str">
        <f t="shared" si="8"/>
        <v>high</v>
      </c>
      <c r="S115" s="1" t="str" cm="1">
        <f t="array" ref="S115">_xlfn.IFS(L115&gt;5,"high",L115=5,"medium",L115&lt;5,"low")</f>
        <v>high</v>
      </c>
      <c r="T115" s="5" t="str">
        <f t="shared" si="9"/>
        <v>high</v>
      </c>
      <c r="U115" s="1">
        <f t="shared" si="10"/>
        <v>10857.420000000002</v>
      </c>
      <c r="V115" t="str">
        <f t="shared" si="11"/>
        <v>Normal</v>
      </c>
      <c r="W115" t="str" cm="1">
        <f t="array" ref="W115">_xlfn.IFS(O115&gt;=7000,"Excellent",O115&gt;=4000,"Good",O115&lt;4000,"Average")</f>
        <v>Excellent</v>
      </c>
    </row>
    <row r="116" spans="1:23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0</v>
      </c>
      <c r="Q116" s="1">
        <f t="shared" si="7"/>
        <v>7242.18</v>
      </c>
      <c r="R116" s="1" t="str">
        <f t="shared" si="8"/>
        <v>low</v>
      </c>
      <c r="S116" s="1" t="str" cm="1">
        <f t="array" ref="S116">_xlfn.IFS(L116&gt;5,"high",L116=5,"medium",L116&lt;5,"low")</f>
        <v>low</v>
      </c>
      <c r="T116" s="5" t="str">
        <f t="shared" si="9"/>
        <v>low</v>
      </c>
      <c r="U116" s="1">
        <f t="shared" si="10"/>
        <v>7242.18</v>
      </c>
      <c r="V116" t="str">
        <f t="shared" si="11"/>
        <v>Normal</v>
      </c>
      <c r="W116" t="str" cm="1">
        <f t="array" ref="W116">_xlfn.IFS(O116&gt;=7000,"Excellent",O116&gt;=4000,"Good",O116&lt;4000,"Average")</f>
        <v>Excellent</v>
      </c>
    </row>
    <row r="117" spans="1:23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873.34649999999999</v>
      </c>
      <c r="Q117" s="1">
        <f t="shared" si="7"/>
        <v>4948.9635000000007</v>
      </c>
      <c r="R117" s="1" t="str">
        <f t="shared" si="8"/>
        <v>high</v>
      </c>
      <c r="S117" s="1" t="str" cm="1">
        <f t="array" ref="S117">_xlfn.IFS(L117&gt;5,"high",L117=5,"medium",L117&lt;5,"low")</f>
        <v>high</v>
      </c>
      <c r="T117" s="5" t="str">
        <f t="shared" si="9"/>
        <v>high</v>
      </c>
      <c r="U117" s="1">
        <f t="shared" si="10"/>
        <v>6849.78</v>
      </c>
      <c r="V117" t="str">
        <f t="shared" si="11"/>
        <v>Heavy</v>
      </c>
      <c r="W117" t="str" cm="1">
        <f t="array" ref="W117">_xlfn.IFS(O117&gt;=7000,"Excellent",O117&gt;=4000,"Good",O117&lt;4000,"Average")</f>
        <v>Good</v>
      </c>
    </row>
    <row r="118" spans="1:23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3412.5800000000004</v>
      </c>
      <c r="Q118" s="1">
        <f t="shared" si="7"/>
        <v>13650.320000000002</v>
      </c>
      <c r="R118" s="1" t="str">
        <f t="shared" si="8"/>
        <v>high</v>
      </c>
      <c r="S118" s="1" t="str" cm="1">
        <f t="array" ref="S118">_xlfn.IFS(L118&gt;5,"high",L118=5,"medium",L118&lt;5,"low")</f>
        <v>high</v>
      </c>
      <c r="T118" s="5" t="str">
        <f t="shared" si="9"/>
        <v>high</v>
      </c>
      <c r="U118" s="1">
        <f t="shared" si="10"/>
        <v>21328.62</v>
      </c>
      <c r="V118" t="str">
        <f t="shared" si="11"/>
        <v>Heavy</v>
      </c>
      <c r="W118" t="str" cm="1">
        <f t="array" ref="W118">_xlfn.IFS(O118&gt;=7000,"Excellent",O118&gt;=4000,"Good",O118&lt;4000,"Average")</f>
        <v>Excellent</v>
      </c>
    </row>
    <row r="119" spans="1:23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737.1880000000001</v>
      </c>
      <c r="Q119" s="1">
        <f t="shared" si="7"/>
        <v>2948.752</v>
      </c>
      <c r="R119" s="1" t="str">
        <f t="shared" si="8"/>
        <v>low</v>
      </c>
      <c r="S119" s="1" t="str" cm="1">
        <f t="array" ref="S119">_xlfn.IFS(L119&gt;5,"high",L119=5,"medium",L119&lt;5,"low")</f>
        <v>low</v>
      </c>
      <c r="T119" s="5" t="str">
        <f t="shared" si="9"/>
        <v>low</v>
      </c>
      <c r="U119" s="1">
        <f t="shared" si="10"/>
        <v>4607.42</v>
      </c>
      <c r="V119" t="str">
        <f t="shared" si="11"/>
        <v>Heavy</v>
      </c>
      <c r="W119" t="str" cm="1">
        <f t="array" ref="W119">_xlfn.IFS(O119&gt;=7000,"Excellent",O119&gt;=4000,"Good",O119&lt;4000,"Average")</f>
        <v>Average</v>
      </c>
    </row>
    <row r="120" spans="1:23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0</v>
      </c>
      <c r="Q120" s="1">
        <f t="shared" si="7"/>
        <v>26717.439999999999</v>
      </c>
      <c r="R120" s="1" t="str">
        <f t="shared" si="8"/>
        <v>high</v>
      </c>
      <c r="S120" s="1" t="str" cm="1">
        <f t="array" ref="S120">_xlfn.IFS(L120&gt;5,"high",L120=5,"medium",L120&lt;5,"low")</f>
        <v>high</v>
      </c>
      <c r="T120" s="5" t="str">
        <f t="shared" si="9"/>
        <v>high</v>
      </c>
      <c r="U120" s="1">
        <f t="shared" si="10"/>
        <v>26717.439999999999</v>
      </c>
      <c r="V120" t="str">
        <f t="shared" si="11"/>
        <v>Normal</v>
      </c>
      <c r="W120" t="str" cm="1">
        <f t="array" ref="W120">_xlfn.IFS(O120&gt;=7000,"Excellent",O120&gt;=4000,"Good",O120&lt;4000,"Average")</f>
        <v>Excellent</v>
      </c>
    </row>
    <row r="121" spans="1:23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962.40800000000002</v>
      </c>
      <c r="Q121" s="1">
        <f t="shared" si="7"/>
        <v>18285.752</v>
      </c>
      <c r="R121" s="1" t="str">
        <f t="shared" si="8"/>
        <v>high</v>
      </c>
      <c r="S121" s="1" t="str" cm="1">
        <f t="array" ref="S121">_xlfn.IFS(L121&gt;5,"high",L121=5,"medium",L121&lt;5,"low")</f>
        <v>high</v>
      </c>
      <c r="T121" s="5" t="str">
        <f t="shared" si="9"/>
        <v>high</v>
      </c>
      <c r="U121" s="1">
        <f t="shared" si="10"/>
        <v>20261.22</v>
      </c>
      <c r="V121" t="str">
        <f t="shared" si="11"/>
        <v>Normal</v>
      </c>
      <c r="W121" t="str" cm="1">
        <f t="array" ref="W121">_xlfn.IFS(O121&gt;=7000,"Excellent",O121&gt;=4000,"Good",O121&lt;4000,"Average")</f>
        <v>Excellent</v>
      </c>
    </row>
    <row r="122" spans="1:23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0</v>
      </c>
      <c r="Q122" s="1">
        <f t="shared" si="7"/>
        <v>14161.4</v>
      </c>
      <c r="R122" s="1" t="str">
        <f t="shared" si="8"/>
        <v>high</v>
      </c>
      <c r="S122" s="1" t="str" cm="1">
        <f t="array" ref="S122">_xlfn.IFS(L122&gt;5,"high",L122=5,"medium",L122&lt;5,"low")</f>
        <v>medium</v>
      </c>
      <c r="T122" s="5" t="str">
        <f t="shared" si="9"/>
        <v>medium</v>
      </c>
      <c r="U122" s="1">
        <f t="shared" si="10"/>
        <v>14161.400000000001</v>
      </c>
      <c r="V122" t="str">
        <f t="shared" si="11"/>
        <v>Normal</v>
      </c>
      <c r="W122" t="str" cm="1">
        <f t="array" ref="W122">_xlfn.IFS(O122&gt;=7000,"Excellent",O122&gt;=4000,"Good",O122&lt;4000,"Average")</f>
        <v>Excellent</v>
      </c>
    </row>
    <row r="123" spans="1:23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0</v>
      </c>
      <c r="Q123" s="1">
        <f t="shared" si="7"/>
        <v>6993.65</v>
      </c>
      <c r="R123" s="1" t="str">
        <f t="shared" si="8"/>
        <v>high</v>
      </c>
      <c r="S123" s="1" t="str" cm="1">
        <f t="array" ref="S123">_xlfn.IFS(L123&gt;5,"high",L123=5,"medium",L123&lt;5,"low")</f>
        <v>medium</v>
      </c>
      <c r="T123" s="5" t="str">
        <f t="shared" si="9"/>
        <v>medium</v>
      </c>
      <c r="U123" s="1">
        <f t="shared" si="10"/>
        <v>6993.65</v>
      </c>
      <c r="V123" t="str">
        <f t="shared" si="11"/>
        <v>Normal</v>
      </c>
      <c r="W123" t="str" cm="1">
        <f t="array" ref="W123">_xlfn.IFS(O123&gt;=7000,"Excellent",O123&gt;=4000,"Good",O123&lt;4000,"Average")</f>
        <v>Good</v>
      </c>
    </row>
    <row r="124" spans="1:23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1176.5600000000002</v>
      </c>
      <c r="Q124" s="1">
        <f t="shared" si="7"/>
        <v>4706.24</v>
      </c>
      <c r="R124" s="1" t="str">
        <f t="shared" si="8"/>
        <v>high</v>
      </c>
      <c r="S124" s="1" t="str" cm="1">
        <f t="array" ref="S124">_xlfn.IFS(L124&gt;5,"high",L124=5,"medium",L124&lt;5,"low")</f>
        <v>high</v>
      </c>
      <c r="T124" s="5" t="str">
        <f t="shared" si="9"/>
        <v>high</v>
      </c>
      <c r="U124" s="1">
        <f t="shared" si="10"/>
        <v>7353.5</v>
      </c>
      <c r="V124" t="str">
        <f t="shared" si="11"/>
        <v>Heavy</v>
      </c>
      <c r="W124" t="str" cm="1">
        <f t="array" ref="W124">_xlfn.IFS(O124&gt;=7000,"Excellent",O124&gt;=4000,"Good",O124&lt;4000,"Average")</f>
        <v>Good</v>
      </c>
    </row>
    <row r="125" spans="1:23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1103.7914999999998</v>
      </c>
      <c r="Q125" s="1">
        <f t="shared" si="7"/>
        <v>6254.8184999999994</v>
      </c>
      <c r="R125" s="1" t="str">
        <f t="shared" si="8"/>
        <v>high</v>
      </c>
      <c r="S125" s="1" t="str" cm="1">
        <f t="array" ref="S125">_xlfn.IFS(L125&gt;5,"high",L125=5,"medium",L125&lt;5,"low")</f>
        <v>high</v>
      </c>
      <c r="T125" s="5" t="str">
        <f t="shared" si="9"/>
        <v>high</v>
      </c>
      <c r="U125" s="1">
        <f t="shared" si="10"/>
        <v>8657.19</v>
      </c>
      <c r="V125" t="str">
        <f t="shared" si="11"/>
        <v>Heavy</v>
      </c>
      <c r="W125" t="str" cm="1">
        <f t="array" ref="W125">_xlfn.IFS(O125&gt;=7000,"Excellent",O125&gt;=4000,"Good",O125&lt;4000,"Average")</f>
        <v>Excellent</v>
      </c>
    </row>
    <row r="126" spans="1:23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0</v>
      </c>
      <c r="Q126" s="1">
        <f t="shared" si="7"/>
        <v>31051.71</v>
      </c>
      <c r="R126" s="1" t="str">
        <f t="shared" si="8"/>
        <v>high</v>
      </c>
      <c r="S126" s="1" t="str" cm="1">
        <f t="array" ref="S126">_xlfn.IFS(L126&gt;5,"high",L126=5,"medium",L126&lt;5,"low")</f>
        <v>high</v>
      </c>
      <c r="T126" s="5" t="str">
        <f t="shared" si="9"/>
        <v>high</v>
      </c>
      <c r="U126" s="1">
        <f t="shared" si="10"/>
        <v>31051.71</v>
      </c>
      <c r="V126" t="str">
        <f t="shared" si="11"/>
        <v>Normal</v>
      </c>
      <c r="W126" t="str" cm="1">
        <f t="array" ref="W126">_xlfn.IFS(O126&gt;=7000,"Excellent",O126&gt;=4000,"Good",O126&lt;4000,"Average")</f>
        <v>Excellent</v>
      </c>
    </row>
    <row r="127" spans="1:23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1414.4435000000001</v>
      </c>
      <c r="Q127" s="1">
        <f t="shared" si="7"/>
        <v>26874.426499999998</v>
      </c>
      <c r="R127" s="1" t="str">
        <f t="shared" si="8"/>
        <v>high</v>
      </c>
      <c r="S127" s="1" t="str" cm="1">
        <f t="array" ref="S127">_xlfn.IFS(L127&gt;5,"high",L127=5,"medium",L127&lt;5,"low")</f>
        <v>high</v>
      </c>
      <c r="T127" s="5" t="str">
        <f t="shared" si="9"/>
        <v>high</v>
      </c>
      <c r="U127" s="1">
        <f t="shared" si="10"/>
        <v>29777.759999999998</v>
      </c>
      <c r="V127" t="str">
        <f t="shared" si="11"/>
        <v>Normal</v>
      </c>
      <c r="W127" t="str" cm="1">
        <f t="array" ref="W127">_xlfn.IFS(O127&gt;=7000,"Excellent",O127&gt;=4000,"Good",O127&lt;4000,"Average")</f>
        <v>Excellent</v>
      </c>
    </row>
    <row r="128" spans="1:23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996.95300000000009</v>
      </c>
      <c r="Q128" s="1">
        <f t="shared" si="7"/>
        <v>8972.5770000000011</v>
      </c>
      <c r="R128" s="1" t="str">
        <f t="shared" si="8"/>
        <v>high</v>
      </c>
      <c r="S128" s="1" t="str" cm="1">
        <f t="array" ref="S128">_xlfn.IFS(L128&gt;5,"high",L128=5,"medium",L128&lt;5,"low")</f>
        <v>high</v>
      </c>
      <c r="T128" s="5" t="str">
        <f t="shared" si="9"/>
        <v>high</v>
      </c>
      <c r="U128" s="1">
        <f t="shared" si="10"/>
        <v>11077.26</v>
      </c>
      <c r="V128" t="str">
        <f t="shared" si="11"/>
        <v>Normal</v>
      </c>
      <c r="W128" t="str" cm="1">
        <f t="array" ref="W128">_xlfn.IFS(O128&gt;=7000,"Excellent",O128&gt;=4000,"Good",O128&lt;4000,"Average")</f>
        <v>Excellent</v>
      </c>
    </row>
    <row r="129" spans="1:23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0</v>
      </c>
      <c r="Q129" s="1">
        <f t="shared" si="7"/>
        <v>3958.56</v>
      </c>
      <c r="R129" s="1" t="str">
        <f t="shared" si="8"/>
        <v>high</v>
      </c>
      <c r="S129" s="1" t="str" cm="1">
        <f t="array" ref="S129">_xlfn.IFS(L129&gt;5,"high",L129=5,"medium",L129&lt;5,"low")</f>
        <v>high</v>
      </c>
      <c r="T129" s="5" t="str">
        <f t="shared" si="9"/>
        <v>high</v>
      </c>
      <c r="U129" s="1">
        <f t="shared" si="10"/>
        <v>3958.56</v>
      </c>
      <c r="V129" t="str">
        <f t="shared" si="11"/>
        <v>Normal</v>
      </c>
      <c r="W129" t="str" cm="1">
        <f t="array" ref="W129">_xlfn.IFS(O129&gt;=7000,"Excellent",O129&gt;=4000,"Good",O129&lt;4000,"Average")</f>
        <v>Average</v>
      </c>
    </row>
    <row r="130" spans="1:23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0</v>
      </c>
      <c r="Q130" s="1">
        <f t="shared" si="7"/>
        <v>4865.01</v>
      </c>
      <c r="R130" s="1" t="str">
        <f t="shared" si="8"/>
        <v>low</v>
      </c>
      <c r="S130" s="1" t="str" cm="1">
        <f t="array" ref="S130">_xlfn.IFS(L130&gt;5,"high",L130=5,"medium",L130&lt;5,"low")</f>
        <v>low</v>
      </c>
      <c r="T130" s="5" t="str">
        <f t="shared" si="9"/>
        <v>low</v>
      </c>
      <c r="U130" s="1">
        <f t="shared" si="10"/>
        <v>4865.01</v>
      </c>
      <c r="V130" t="str">
        <f t="shared" si="11"/>
        <v>Normal</v>
      </c>
      <c r="W130" t="str" cm="1">
        <f t="array" ref="W130">_xlfn.IFS(O130&gt;=7000,"Excellent",O130&gt;=4000,"Good",O130&lt;4000,"Average")</f>
        <v>Good</v>
      </c>
    </row>
    <row r="131" spans="1:23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2">O131*N131%</f>
        <v>120.3875</v>
      </c>
      <c r="Q131" s="1">
        <f t="shared" ref="Q131:Q194" si="13">O131-P131</f>
        <v>2287.3625000000002</v>
      </c>
      <c r="R131" s="1" t="str">
        <f t="shared" ref="R131:R194" si="14">IF(L131&gt;=5,"high","low")</f>
        <v>low</v>
      </c>
      <c r="S131" s="1" t="str" cm="1">
        <f t="array" ref="S131">_xlfn.IFS(L131&gt;5,"high",L131=5,"medium",L131&lt;5,"low")</f>
        <v>low</v>
      </c>
      <c r="T131" s="5" t="str">
        <f t="shared" ref="T131:T194" si="15">IF(L131&gt;5,"high",IF(L131=5,"medium","low"))</f>
        <v>low</v>
      </c>
      <c r="U131" s="1">
        <f t="shared" ref="U131:U194" si="16">L131*M131</f>
        <v>2534.4699999999998</v>
      </c>
      <c r="V131" t="str">
        <f t="shared" ref="V131:V194" si="17">IF(N131&gt;10,"Heavy","Normal")</f>
        <v>Normal</v>
      </c>
      <c r="W131" t="str" cm="1">
        <f t="array" ref="W131">_xlfn.IFS(O131&gt;=7000,"Excellent",O131&gt;=4000,"Good",O131&lt;4000,"Average")</f>
        <v>Average</v>
      </c>
    </row>
    <row r="132" spans="1:23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2"/>
        <v>1695.2594999999999</v>
      </c>
      <c r="Q132" s="1">
        <f t="shared" si="13"/>
        <v>9606.4704999999994</v>
      </c>
      <c r="R132" s="1" t="str">
        <f t="shared" si="14"/>
        <v>high</v>
      </c>
      <c r="S132" s="1" t="str" cm="1">
        <f t="array" ref="S132">_xlfn.IFS(L132&gt;5,"high",L132=5,"medium",L132&lt;5,"low")</f>
        <v>high</v>
      </c>
      <c r="T132" s="5" t="str">
        <f t="shared" si="15"/>
        <v>high</v>
      </c>
      <c r="U132" s="1">
        <f t="shared" si="16"/>
        <v>13296.15</v>
      </c>
      <c r="V132" t="str">
        <f t="shared" si="17"/>
        <v>Heavy</v>
      </c>
      <c r="W132" t="str" cm="1">
        <f t="array" ref="W132">_xlfn.IFS(O132&gt;=7000,"Excellent",O132&gt;=4000,"Good",O132&lt;4000,"Average")</f>
        <v>Excellent</v>
      </c>
    </row>
    <row r="133" spans="1:23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2"/>
        <v>0</v>
      </c>
      <c r="Q133" s="1">
        <f t="shared" si="13"/>
        <v>12614.92</v>
      </c>
      <c r="R133" s="1" t="str">
        <f t="shared" si="14"/>
        <v>low</v>
      </c>
      <c r="S133" s="1" t="str" cm="1">
        <f t="array" ref="S133">_xlfn.IFS(L133&gt;5,"high",L133=5,"medium",L133&lt;5,"low")</f>
        <v>low</v>
      </c>
      <c r="T133" s="5" t="str">
        <f t="shared" si="15"/>
        <v>low</v>
      </c>
      <c r="U133" s="1">
        <f t="shared" si="16"/>
        <v>12614.92</v>
      </c>
      <c r="V133" t="str">
        <f t="shared" si="17"/>
        <v>Normal</v>
      </c>
      <c r="W133" t="str" cm="1">
        <f t="array" ref="W133">_xlfn.IFS(O133&gt;=7000,"Excellent",O133&gt;=4000,"Good",O133&lt;4000,"Average")</f>
        <v>Excellent</v>
      </c>
    </row>
    <row r="134" spans="1:23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2"/>
        <v>0</v>
      </c>
      <c r="Q134" s="1">
        <f t="shared" si="13"/>
        <v>3990.85</v>
      </c>
      <c r="R134" s="1" t="str">
        <f t="shared" si="14"/>
        <v>low</v>
      </c>
      <c r="S134" s="1" t="str" cm="1">
        <f t="array" ref="S134">_xlfn.IFS(L134&gt;5,"high",L134=5,"medium",L134&lt;5,"low")</f>
        <v>low</v>
      </c>
      <c r="T134" s="5" t="str">
        <f t="shared" si="15"/>
        <v>low</v>
      </c>
      <c r="U134" s="1">
        <f t="shared" si="16"/>
        <v>3990.85</v>
      </c>
      <c r="V134" t="str">
        <f t="shared" si="17"/>
        <v>Normal</v>
      </c>
      <c r="W134" t="str" cm="1">
        <f t="array" ref="W134">_xlfn.IFS(O134&gt;=7000,"Excellent",O134&gt;=4000,"Good",O134&lt;4000,"Average")</f>
        <v>Average</v>
      </c>
    </row>
    <row r="135" spans="1:23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2"/>
        <v>903.57749999999999</v>
      </c>
      <c r="Q135" s="1">
        <f t="shared" si="13"/>
        <v>5120.2725</v>
      </c>
      <c r="R135" s="1" t="str">
        <f t="shared" si="14"/>
        <v>high</v>
      </c>
      <c r="S135" s="1" t="str" cm="1">
        <f t="array" ref="S135">_xlfn.IFS(L135&gt;5,"high",L135=5,"medium",L135&lt;5,"low")</f>
        <v>high</v>
      </c>
      <c r="T135" s="5" t="str">
        <f t="shared" si="15"/>
        <v>high</v>
      </c>
      <c r="U135" s="1">
        <f t="shared" si="16"/>
        <v>7086.88</v>
      </c>
      <c r="V135" t="str">
        <f t="shared" si="17"/>
        <v>Heavy</v>
      </c>
      <c r="W135" t="str" cm="1">
        <f t="array" ref="W135">_xlfn.IFS(O135&gt;=7000,"Excellent",O135&gt;=4000,"Good",O135&lt;4000,"Average")</f>
        <v>Good</v>
      </c>
    </row>
    <row r="136" spans="1:23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2"/>
        <v>547.10299999999995</v>
      </c>
      <c r="Q136" s="1">
        <f t="shared" si="13"/>
        <v>10394.957</v>
      </c>
      <c r="R136" s="1" t="str">
        <f t="shared" si="14"/>
        <v>high</v>
      </c>
      <c r="S136" s="1" t="str" cm="1">
        <f t="array" ref="S136">_xlfn.IFS(L136&gt;5,"high",L136=5,"medium",L136&lt;5,"low")</f>
        <v>high</v>
      </c>
      <c r="T136" s="5" t="str">
        <f t="shared" si="15"/>
        <v>high</v>
      </c>
      <c r="U136" s="1">
        <f t="shared" si="16"/>
        <v>11517.960000000001</v>
      </c>
      <c r="V136" t="str">
        <f t="shared" si="17"/>
        <v>Normal</v>
      </c>
      <c r="W136" t="str" cm="1">
        <f t="array" ref="W136">_xlfn.IFS(O136&gt;=7000,"Excellent",O136&gt;=4000,"Good",O136&lt;4000,"Average")</f>
        <v>Excellent</v>
      </c>
    </row>
    <row r="137" spans="1:23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2"/>
        <v>0</v>
      </c>
      <c r="Q137" s="1">
        <f t="shared" si="13"/>
        <v>10855.74</v>
      </c>
      <c r="R137" s="1" t="str">
        <f t="shared" si="14"/>
        <v>high</v>
      </c>
      <c r="S137" s="1" t="str" cm="1">
        <f t="array" ref="S137">_xlfn.IFS(L137&gt;5,"high",L137=5,"medium",L137&lt;5,"low")</f>
        <v>high</v>
      </c>
      <c r="T137" s="5" t="str">
        <f t="shared" si="15"/>
        <v>high</v>
      </c>
      <c r="U137" s="1">
        <f t="shared" si="16"/>
        <v>10855.74</v>
      </c>
      <c r="V137" t="str">
        <f t="shared" si="17"/>
        <v>Normal</v>
      </c>
      <c r="W137" t="str" cm="1">
        <f t="array" ref="W137">_xlfn.IFS(O137&gt;=7000,"Excellent",O137&gt;=4000,"Good",O137&lt;4000,"Average")</f>
        <v>Excellent</v>
      </c>
    </row>
    <row r="138" spans="1:23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2"/>
        <v>337.18649999999997</v>
      </c>
      <c r="Q138" s="1">
        <f t="shared" si="13"/>
        <v>1910.7234999999998</v>
      </c>
      <c r="R138" s="1" t="str">
        <f t="shared" si="14"/>
        <v>low</v>
      </c>
      <c r="S138" s="1" t="str" cm="1">
        <f t="array" ref="S138">_xlfn.IFS(L138&gt;5,"high",L138=5,"medium",L138&lt;5,"low")</f>
        <v>low</v>
      </c>
      <c r="T138" s="5" t="str">
        <f t="shared" si="15"/>
        <v>low</v>
      </c>
      <c r="U138" s="1">
        <f t="shared" si="16"/>
        <v>2644.6</v>
      </c>
      <c r="V138" t="str">
        <f t="shared" si="17"/>
        <v>Heavy</v>
      </c>
      <c r="W138" t="str" cm="1">
        <f t="array" ref="W138">_xlfn.IFS(O138&gt;=7000,"Excellent",O138&gt;=4000,"Good",O138&lt;4000,"Average")</f>
        <v>Average</v>
      </c>
    </row>
    <row r="139" spans="1:23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2"/>
        <v>0</v>
      </c>
      <c r="Q139" s="1">
        <f t="shared" si="13"/>
        <v>912.67</v>
      </c>
      <c r="R139" s="1" t="str">
        <f t="shared" si="14"/>
        <v>low</v>
      </c>
      <c r="S139" s="1" t="str" cm="1">
        <f t="array" ref="S139">_xlfn.IFS(L139&gt;5,"high",L139=5,"medium",L139&lt;5,"low")</f>
        <v>low</v>
      </c>
      <c r="T139" s="5" t="str">
        <f t="shared" si="15"/>
        <v>low</v>
      </c>
      <c r="U139" s="1">
        <f t="shared" si="16"/>
        <v>912.67</v>
      </c>
      <c r="V139" t="str">
        <f t="shared" si="17"/>
        <v>Normal</v>
      </c>
      <c r="W139" t="str" cm="1">
        <f t="array" ref="W139">_xlfn.IFS(O139&gt;=7000,"Excellent",O139&gt;=4000,"Good",O139&lt;4000,"Average")</f>
        <v>Average</v>
      </c>
    </row>
    <row r="140" spans="1:23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2"/>
        <v>72.524000000000001</v>
      </c>
      <c r="Q140" s="1">
        <f t="shared" si="13"/>
        <v>652.71600000000001</v>
      </c>
      <c r="R140" s="1" t="str">
        <f t="shared" si="14"/>
        <v>low</v>
      </c>
      <c r="S140" s="1" t="str" cm="1">
        <f t="array" ref="S140">_xlfn.IFS(L140&gt;5,"high",L140=5,"medium",L140&lt;5,"low")</f>
        <v>low</v>
      </c>
      <c r="T140" s="5" t="str">
        <f t="shared" si="15"/>
        <v>low</v>
      </c>
      <c r="U140" s="1">
        <f t="shared" si="16"/>
        <v>805.82</v>
      </c>
      <c r="V140" t="str">
        <f t="shared" si="17"/>
        <v>Normal</v>
      </c>
      <c r="W140" t="str" cm="1">
        <f t="array" ref="W140">_xlfn.IFS(O140&gt;=7000,"Excellent",O140&gt;=4000,"Good",O140&lt;4000,"Average")</f>
        <v>Average</v>
      </c>
    </row>
    <row r="141" spans="1:23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2"/>
        <v>2281.8620000000001</v>
      </c>
      <c r="Q141" s="1">
        <f t="shared" si="13"/>
        <v>9127.4480000000003</v>
      </c>
      <c r="R141" s="1" t="str">
        <f t="shared" si="14"/>
        <v>low</v>
      </c>
      <c r="S141" s="1" t="str" cm="1">
        <f t="array" ref="S141">_xlfn.IFS(L141&gt;5,"high",L141=5,"medium",L141&lt;5,"low")</f>
        <v>low</v>
      </c>
      <c r="T141" s="5" t="str">
        <f t="shared" si="15"/>
        <v>low</v>
      </c>
      <c r="U141" s="1">
        <f t="shared" si="16"/>
        <v>14261.64</v>
      </c>
      <c r="V141" t="str">
        <f t="shared" si="17"/>
        <v>Heavy</v>
      </c>
      <c r="W141" t="str" cm="1">
        <f t="array" ref="W141">_xlfn.IFS(O141&gt;=7000,"Excellent",O141&gt;=4000,"Good",O141&lt;4000,"Average")</f>
        <v>Excellent</v>
      </c>
    </row>
    <row r="142" spans="1:23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2"/>
        <v>317.95600000000002</v>
      </c>
      <c r="Q142" s="1">
        <f t="shared" si="13"/>
        <v>2861.6039999999998</v>
      </c>
      <c r="R142" s="1" t="str">
        <f t="shared" si="14"/>
        <v>low</v>
      </c>
      <c r="S142" s="1" t="str" cm="1">
        <f t="array" ref="S142">_xlfn.IFS(L142&gt;5,"high",L142=5,"medium",L142&lt;5,"low")</f>
        <v>low</v>
      </c>
      <c r="T142" s="5" t="str">
        <f t="shared" si="15"/>
        <v>low</v>
      </c>
      <c r="U142" s="1">
        <f t="shared" si="16"/>
        <v>3532.84</v>
      </c>
      <c r="V142" t="str">
        <f t="shared" si="17"/>
        <v>Normal</v>
      </c>
      <c r="W142" t="str" cm="1">
        <f t="array" ref="W142">_xlfn.IFS(O142&gt;=7000,"Excellent",O142&gt;=4000,"Good",O142&lt;4000,"Average")</f>
        <v>Average</v>
      </c>
    </row>
    <row r="143" spans="1:23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2"/>
        <v>0</v>
      </c>
      <c r="Q143" s="1">
        <f t="shared" si="13"/>
        <v>2063.0500000000002</v>
      </c>
      <c r="R143" s="1" t="str">
        <f t="shared" si="14"/>
        <v>low</v>
      </c>
      <c r="S143" s="1" t="str" cm="1">
        <f t="array" ref="S143">_xlfn.IFS(L143&gt;5,"high",L143=5,"medium",L143&lt;5,"low")</f>
        <v>low</v>
      </c>
      <c r="T143" s="5" t="str">
        <f t="shared" si="15"/>
        <v>low</v>
      </c>
      <c r="U143" s="1">
        <f t="shared" si="16"/>
        <v>2063.0500000000002</v>
      </c>
      <c r="V143" t="str">
        <f t="shared" si="17"/>
        <v>Normal</v>
      </c>
      <c r="W143" t="str" cm="1">
        <f t="array" ref="W143">_xlfn.IFS(O143&gt;=7000,"Excellent",O143&gt;=4000,"Good",O143&lt;4000,"Average")</f>
        <v>Average</v>
      </c>
    </row>
    <row r="144" spans="1:23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2"/>
        <v>1223.6765</v>
      </c>
      <c r="Q144" s="1">
        <f t="shared" si="13"/>
        <v>23249.853499999997</v>
      </c>
      <c r="R144" s="1" t="str">
        <f t="shared" si="14"/>
        <v>high</v>
      </c>
      <c r="S144" s="1" t="str" cm="1">
        <f t="array" ref="S144">_xlfn.IFS(L144&gt;5,"high",L144=5,"medium",L144&lt;5,"low")</f>
        <v>high</v>
      </c>
      <c r="T144" s="5" t="str">
        <f t="shared" si="15"/>
        <v>high</v>
      </c>
      <c r="U144" s="1">
        <f t="shared" si="16"/>
        <v>25761.61</v>
      </c>
      <c r="V144" t="str">
        <f t="shared" si="17"/>
        <v>Normal</v>
      </c>
      <c r="W144" t="str" cm="1">
        <f t="array" ref="W144">_xlfn.IFS(O144&gt;=7000,"Excellent",O144&gt;=4000,"Good",O144&lt;4000,"Average")</f>
        <v>Excellent</v>
      </c>
    </row>
    <row r="145" spans="1:23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2"/>
        <v>4017.5620000000004</v>
      </c>
      <c r="Q145" s="1">
        <f t="shared" si="13"/>
        <v>16070.248000000001</v>
      </c>
      <c r="R145" s="1" t="str">
        <f t="shared" si="14"/>
        <v>high</v>
      </c>
      <c r="S145" s="1" t="str" cm="1">
        <f t="array" ref="S145">_xlfn.IFS(L145&gt;5,"high",L145=5,"medium",L145&lt;5,"low")</f>
        <v>high</v>
      </c>
      <c r="T145" s="5" t="str">
        <f t="shared" si="15"/>
        <v>high</v>
      </c>
      <c r="U145" s="1">
        <f t="shared" si="16"/>
        <v>25109.759999999998</v>
      </c>
      <c r="V145" t="str">
        <f t="shared" si="17"/>
        <v>Heavy</v>
      </c>
      <c r="W145" t="str" cm="1">
        <f t="array" ref="W145">_xlfn.IFS(O145&gt;=7000,"Excellent",O145&gt;=4000,"Good",O145&lt;4000,"Average")</f>
        <v>Excellent</v>
      </c>
    </row>
    <row r="146" spans="1:23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2"/>
        <v>352.31200000000001</v>
      </c>
      <c r="Q146" s="1">
        <f t="shared" si="13"/>
        <v>3170.808</v>
      </c>
      <c r="R146" s="1" t="str">
        <f t="shared" si="14"/>
        <v>high</v>
      </c>
      <c r="S146" s="1" t="str" cm="1">
        <f t="array" ref="S146">_xlfn.IFS(L146&gt;5,"high",L146=5,"medium",L146&lt;5,"low")</f>
        <v>high</v>
      </c>
      <c r="T146" s="5" t="str">
        <f t="shared" si="15"/>
        <v>high</v>
      </c>
      <c r="U146" s="1">
        <f t="shared" si="16"/>
        <v>3914.58</v>
      </c>
      <c r="V146" t="str">
        <f t="shared" si="17"/>
        <v>Normal</v>
      </c>
      <c r="W146" t="str" cm="1">
        <f t="array" ref="W146">_xlfn.IFS(O146&gt;=7000,"Excellent",O146&gt;=4000,"Good",O146&lt;4000,"Average")</f>
        <v>Average</v>
      </c>
    </row>
    <row r="147" spans="1:23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2"/>
        <v>1186.704</v>
      </c>
      <c r="Q147" s="1">
        <f t="shared" si="13"/>
        <v>6724.6559999999999</v>
      </c>
      <c r="R147" s="1" t="str">
        <f t="shared" si="14"/>
        <v>low</v>
      </c>
      <c r="S147" s="1" t="str" cm="1">
        <f t="array" ref="S147">_xlfn.IFS(L147&gt;5,"high",L147=5,"medium",L147&lt;5,"low")</f>
        <v>low</v>
      </c>
      <c r="T147" s="5" t="str">
        <f t="shared" si="15"/>
        <v>low</v>
      </c>
      <c r="U147" s="1">
        <f t="shared" si="16"/>
        <v>9307.48</v>
      </c>
      <c r="V147" t="str">
        <f t="shared" si="17"/>
        <v>Heavy</v>
      </c>
      <c r="W147" t="str" cm="1">
        <f t="array" ref="W147">_xlfn.IFS(O147&gt;=7000,"Excellent",O147&gt;=4000,"Good",O147&lt;4000,"Average")</f>
        <v>Excellent</v>
      </c>
    </row>
    <row r="148" spans="1:23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2"/>
        <v>528.01099999999997</v>
      </c>
      <c r="Q148" s="1">
        <f t="shared" si="13"/>
        <v>10032.208999999999</v>
      </c>
      <c r="R148" s="1" t="str">
        <f t="shared" si="14"/>
        <v>high</v>
      </c>
      <c r="S148" s="1" t="str" cm="1">
        <f t="array" ref="S148">_xlfn.IFS(L148&gt;5,"high",L148=5,"medium",L148&lt;5,"low")</f>
        <v>high</v>
      </c>
      <c r="T148" s="5" t="str">
        <f t="shared" si="15"/>
        <v>high</v>
      </c>
      <c r="U148" s="1">
        <f t="shared" si="16"/>
        <v>11116.02</v>
      </c>
      <c r="V148" t="str">
        <f t="shared" si="17"/>
        <v>Normal</v>
      </c>
      <c r="W148" t="str" cm="1">
        <f t="array" ref="W148">_xlfn.IFS(O148&gt;=7000,"Excellent",O148&gt;=4000,"Good",O148&lt;4000,"Average")</f>
        <v>Excellent</v>
      </c>
    </row>
    <row r="149" spans="1:23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2"/>
        <v>869.2</v>
      </c>
      <c r="Q149" s="1">
        <f t="shared" si="13"/>
        <v>7822.8</v>
      </c>
      <c r="R149" s="1" t="str">
        <f t="shared" si="14"/>
        <v>low</v>
      </c>
      <c r="S149" s="1" t="str" cm="1">
        <f t="array" ref="S149">_xlfn.IFS(L149&gt;5,"high",L149=5,"medium",L149&lt;5,"low")</f>
        <v>low</v>
      </c>
      <c r="T149" s="5" t="str">
        <f t="shared" si="15"/>
        <v>low</v>
      </c>
      <c r="U149" s="1">
        <f t="shared" si="16"/>
        <v>9657.7800000000007</v>
      </c>
      <c r="V149" t="str">
        <f t="shared" si="17"/>
        <v>Normal</v>
      </c>
      <c r="W149" t="str" cm="1">
        <f t="array" ref="W149">_xlfn.IFS(O149&gt;=7000,"Excellent",O149&gt;=4000,"Good",O149&lt;4000,"Average")</f>
        <v>Excellent</v>
      </c>
    </row>
    <row r="150" spans="1:23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2"/>
        <v>2997.0659999999998</v>
      </c>
      <c r="Q150" s="1">
        <f t="shared" si="13"/>
        <v>16983.374</v>
      </c>
      <c r="R150" s="1" t="str">
        <f t="shared" si="14"/>
        <v>high</v>
      </c>
      <c r="S150" s="1" t="str" cm="1">
        <f t="array" ref="S150">_xlfn.IFS(L150&gt;5,"high",L150=5,"medium",L150&lt;5,"low")</f>
        <v>high</v>
      </c>
      <c r="T150" s="5" t="str">
        <f t="shared" si="15"/>
        <v>high</v>
      </c>
      <c r="U150" s="1">
        <f t="shared" si="16"/>
        <v>23506.400000000001</v>
      </c>
      <c r="V150" t="str">
        <f t="shared" si="17"/>
        <v>Heavy</v>
      </c>
      <c r="W150" t="str" cm="1">
        <f t="array" ref="W150">_xlfn.IFS(O150&gt;=7000,"Excellent",O150&gt;=4000,"Good",O150&lt;4000,"Average")</f>
        <v>Excellent</v>
      </c>
    </row>
    <row r="151" spans="1:23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2"/>
        <v>0</v>
      </c>
      <c r="Q151" s="1">
        <f t="shared" si="13"/>
        <v>5616.12</v>
      </c>
      <c r="R151" s="1" t="str">
        <f t="shared" si="14"/>
        <v>low</v>
      </c>
      <c r="S151" s="1" t="str" cm="1">
        <f t="array" ref="S151">_xlfn.IFS(L151&gt;5,"high",L151=5,"medium",L151&lt;5,"low")</f>
        <v>low</v>
      </c>
      <c r="T151" s="5" t="str">
        <f t="shared" si="15"/>
        <v>low</v>
      </c>
      <c r="U151" s="1">
        <f t="shared" si="16"/>
        <v>5616.12</v>
      </c>
      <c r="V151" t="str">
        <f t="shared" si="17"/>
        <v>Normal</v>
      </c>
      <c r="W151" t="str" cm="1">
        <f t="array" ref="W151">_xlfn.IFS(O151&gt;=7000,"Excellent",O151&gt;=4000,"Good",O151&lt;4000,"Average")</f>
        <v>Good</v>
      </c>
    </row>
    <row r="152" spans="1:23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2"/>
        <v>931.452</v>
      </c>
      <c r="Q152" s="1">
        <f t="shared" si="13"/>
        <v>5278.2280000000001</v>
      </c>
      <c r="R152" s="1" t="str">
        <f t="shared" si="14"/>
        <v>high</v>
      </c>
      <c r="S152" s="1" t="str" cm="1">
        <f t="array" ref="S152">_xlfn.IFS(L152&gt;5,"high",L152=5,"medium",L152&lt;5,"low")</f>
        <v>medium</v>
      </c>
      <c r="T152" s="5" t="str">
        <f t="shared" si="15"/>
        <v>medium</v>
      </c>
      <c r="U152" s="1">
        <f t="shared" si="16"/>
        <v>7305.5</v>
      </c>
      <c r="V152" t="str">
        <f t="shared" si="17"/>
        <v>Heavy</v>
      </c>
      <c r="W152" t="str" cm="1">
        <f t="array" ref="W152">_xlfn.IFS(O152&gt;=7000,"Excellent",O152&gt;=4000,"Good",O152&lt;4000,"Average")</f>
        <v>Good</v>
      </c>
    </row>
    <row r="153" spans="1:23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2"/>
        <v>292.42</v>
      </c>
      <c r="Q153" s="1">
        <f t="shared" si="13"/>
        <v>2631.7799999999997</v>
      </c>
      <c r="R153" s="1" t="str">
        <f t="shared" si="14"/>
        <v>low</v>
      </c>
      <c r="S153" s="1" t="str" cm="1">
        <f t="array" ref="S153">_xlfn.IFS(L153&gt;5,"high",L153=5,"medium",L153&lt;5,"low")</f>
        <v>low</v>
      </c>
      <c r="T153" s="5" t="str">
        <f t="shared" si="15"/>
        <v>low</v>
      </c>
      <c r="U153" s="1">
        <f t="shared" si="16"/>
        <v>3249.11</v>
      </c>
      <c r="V153" t="str">
        <f t="shared" si="17"/>
        <v>Normal</v>
      </c>
      <c r="W153" t="str" cm="1">
        <f t="array" ref="W153">_xlfn.IFS(O153&gt;=7000,"Excellent",O153&gt;=4000,"Good",O153&lt;4000,"Average")</f>
        <v>Average</v>
      </c>
    </row>
    <row r="154" spans="1:23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2"/>
        <v>189.923</v>
      </c>
      <c r="Q154" s="1">
        <f t="shared" si="13"/>
        <v>1709.307</v>
      </c>
      <c r="R154" s="1" t="str">
        <f t="shared" si="14"/>
        <v>high</v>
      </c>
      <c r="S154" s="1" t="str" cm="1">
        <f t="array" ref="S154">_xlfn.IFS(L154&gt;5,"high",L154=5,"medium",L154&lt;5,"low")</f>
        <v>high</v>
      </c>
      <c r="T154" s="5" t="str">
        <f t="shared" si="15"/>
        <v>high</v>
      </c>
      <c r="U154" s="1">
        <f t="shared" si="16"/>
        <v>2110.2599999999998</v>
      </c>
      <c r="V154" t="str">
        <f t="shared" si="17"/>
        <v>Normal</v>
      </c>
      <c r="W154" t="str" cm="1">
        <f t="array" ref="W154">_xlfn.IFS(O154&gt;=7000,"Excellent",O154&gt;=4000,"Good",O154&lt;4000,"Average")</f>
        <v>Average</v>
      </c>
    </row>
    <row r="155" spans="1:23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2"/>
        <v>0</v>
      </c>
      <c r="Q155" s="1">
        <f t="shared" si="13"/>
        <v>1529.12</v>
      </c>
      <c r="R155" s="1" t="str">
        <f t="shared" si="14"/>
        <v>low</v>
      </c>
      <c r="S155" s="1" t="str" cm="1">
        <f t="array" ref="S155">_xlfn.IFS(L155&gt;5,"high",L155=5,"medium",L155&lt;5,"low")</f>
        <v>low</v>
      </c>
      <c r="T155" s="5" t="str">
        <f t="shared" si="15"/>
        <v>low</v>
      </c>
      <c r="U155" s="1">
        <f t="shared" si="16"/>
        <v>1529.12</v>
      </c>
      <c r="V155" t="str">
        <f t="shared" si="17"/>
        <v>Normal</v>
      </c>
      <c r="W155" t="str" cm="1">
        <f t="array" ref="W155">_xlfn.IFS(O155&gt;=7000,"Excellent",O155&gt;=4000,"Good",O155&lt;4000,"Average")</f>
        <v>Average</v>
      </c>
    </row>
    <row r="156" spans="1:23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2"/>
        <v>735.49650000000008</v>
      </c>
      <c r="Q156" s="1">
        <f t="shared" si="13"/>
        <v>4167.8135000000002</v>
      </c>
      <c r="R156" s="1" t="str">
        <f t="shared" si="14"/>
        <v>low</v>
      </c>
      <c r="S156" s="1" t="str" cm="1">
        <f t="array" ref="S156">_xlfn.IFS(L156&gt;5,"high",L156=5,"medium",L156&lt;5,"low")</f>
        <v>low</v>
      </c>
      <c r="T156" s="5" t="str">
        <f t="shared" si="15"/>
        <v>low</v>
      </c>
      <c r="U156" s="1">
        <f t="shared" si="16"/>
        <v>5768.6</v>
      </c>
      <c r="V156" t="str">
        <f t="shared" si="17"/>
        <v>Heavy</v>
      </c>
      <c r="W156" t="str" cm="1">
        <f t="array" ref="W156">_xlfn.IFS(O156&gt;=7000,"Excellent",O156&gt;=4000,"Good",O156&lt;4000,"Average")</f>
        <v>Good</v>
      </c>
    </row>
    <row r="157" spans="1:23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2"/>
        <v>340.96799999999996</v>
      </c>
      <c r="Q157" s="1">
        <f t="shared" si="13"/>
        <v>1932.152</v>
      </c>
      <c r="R157" s="1" t="str">
        <f t="shared" si="14"/>
        <v>high</v>
      </c>
      <c r="S157" s="1" t="str" cm="1">
        <f t="array" ref="S157">_xlfn.IFS(L157&gt;5,"high",L157=5,"medium",L157&lt;5,"low")</f>
        <v>high</v>
      </c>
      <c r="T157" s="5" t="str">
        <f t="shared" si="15"/>
        <v>high</v>
      </c>
      <c r="U157" s="1">
        <f t="shared" si="16"/>
        <v>2674.2599999999998</v>
      </c>
      <c r="V157" t="str">
        <f t="shared" si="17"/>
        <v>Heavy</v>
      </c>
      <c r="W157" t="str" cm="1">
        <f t="array" ref="W157">_xlfn.IFS(O157&gt;=7000,"Excellent",O157&gt;=4000,"Good",O157&lt;4000,"Average")</f>
        <v>Average</v>
      </c>
    </row>
    <row r="158" spans="1:23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2"/>
        <v>0</v>
      </c>
      <c r="Q158" s="1">
        <f t="shared" si="13"/>
        <v>8437.84</v>
      </c>
      <c r="R158" s="1" t="str">
        <f t="shared" si="14"/>
        <v>high</v>
      </c>
      <c r="S158" s="1" t="str" cm="1">
        <f t="array" ref="S158">_xlfn.IFS(L158&gt;5,"high",L158=5,"medium",L158&lt;5,"low")</f>
        <v>high</v>
      </c>
      <c r="T158" s="5" t="str">
        <f t="shared" si="15"/>
        <v>high</v>
      </c>
      <c r="U158" s="1">
        <f t="shared" si="16"/>
        <v>8437.84</v>
      </c>
      <c r="V158" t="str">
        <f t="shared" si="17"/>
        <v>Normal</v>
      </c>
      <c r="W158" t="str" cm="1">
        <f t="array" ref="W158">_xlfn.IFS(O158&gt;=7000,"Excellent",O158&gt;=4000,"Good",O158&lt;4000,"Average")</f>
        <v>Excellent</v>
      </c>
    </row>
    <row r="159" spans="1:23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2"/>
        <v>3413.0009999999997</v>
      </c>
      <c r="Q159" s="1">
        <f t="shared" si="13"/>
        <v>19340.339</v>
      </c>
      <c r="R159" s="1" t="str">
        <f t="shared" si="14"/>
        <v>high</v>
      </c>
      <c r="S159" s="1" t="str" cm="1">
        <f t="array" ref="S159">_xlfn.IFS(L159&gt;5,"high",L159=5,"medium",L159&lt;5,"low")</f>
        <v>high</v>
      </c>
      <c r="T159" s="5" t="str">
        <f t="shared" si="15"/>
        <v>high</v>
      </c>
      <c r="U159" s="1">
        <f t="shared" si="16"/>
        <v>26768.639999999999</v>
      </c>
      <c r="V159" t="str">
        <f t="shared" si="17"/>
        <v>Heavy</v>
      </c>
      <c r="W159" t="str" cm="1">
        <f t="array" ref="W159">_xlfn.IFS(O159&gt;=7000,"Excellent",O159&gt;=4000,"Good",O159&lt;4000,"Average")</f>
        <v>Excellent</v>
      </c>
    </row>
    <row r="160" spans="1:23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2"/>
        <v>0</v>
      </c>
      <c r="Q160" s="1">
        <f t="shared" si="13"/>
        <v>22804.62</v>
      </c>
      <c r="R160" s="1" t="str">
        <f t="shared" si="14"/>
        <v>high</v>
      </c>
      <c r="S160" s="1" t="str" cm="1">
        <f t="array" ref="S160">_xlfn.IFS(L160&gt;5,"high",L160=5,"medium",L160&lt;5,"low")</f>
        <v>high</v>
      </c>
      <c r="T160" s="5" t="str">
        <f t="shared" si="15"/>
        <v>high</v>
      </c>
      <c r="U160" s="1">
        <f t="shared" si="16"/>
        <v>22804.62</v>
      </c>
      <c r="V160" t="str">
        <f t="shared" si="17"/>
        <v>Normal</v>
      </c>
      <c r="W160" t="str" cm="1">
        <f t="array" ref="W160">_xlfn.IFS(O160&gt;=7000,"Excellent",O160&gt;=4000,"Good",O160&lt;4000,"Average")</f>
        <v>Excellent</v>
      </c>
    </row>
    <row r="161" spans="1:23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2"/>
        <v>251.31700000000001</v>
      </c>
      <c r="Q161" s="1">
        <f t="shared" si="13"/>
        <v>4775.0230000000001</v>
      </c>
      <c r="R161" s="1" t="str">
        <f t="shared" si="14"/>
        <v>low</v>
      </c>
      <c r="S161" s="1" t="str" cm="1">
        <f t="array" ref="S161">_xlfn.IFS(L161&gt;5,"high",L161=5,"medium",L161&lt;5,"low")</f>
        <v>low</v>
      </c>
      <c r="T161" s="5" t="str">
        <f t="shared" si="15"/>
        <v>low</v>
      </c>
      <c r="U161" s="1">
        <f t="shared" si="16"/>
        <v>5290.88</v>
      </c>
      <c r="V161" t="str">
        <f t="shared" si="17"/>
        <v>Normal</v>
      </c>
      <c r="W161" t="str" cm="1">
        <f t="array" ref="W161">_xlfn.IFS(O161&gt;=7000,"Excellent",O161&gt;=4000,"Good",O161&lt;4000,"Average")</f>
        <v>Good</v>
      </c>
    </row>
    <row r="162" spans="1:23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2"/>
        <v>841.24099999999999</v>
      </c>
      <c r="Q162" s="1">
        <f t="shared" si="13"/>
        <v>7571.1689999999999</v>
      </c>
      <c r="R162" s="1" t="str">
        <f t="shared" si="14"/>
        <v>high</v>
      </c>
      <c r="S162" s="1" t="str" cm="1">
        <f t="array" ref="S162">_xlfn.IFS(L162&gt;5,"high",L162=5,"medium",L162&lt;5,"low")</f>
        <v>high</v>
      </c>
      <c r="T162" s="5" t="str">
        <f t="shared" si="15"/>
        <v>high</v>
      </c>
      <c r="U162" s="1">
        <f t="shared" si="16"/>
        <v>9347.1200000000008</v>
      </c>
      <c r="V162" t="str">
        <f t="shared" si="17"/>
        <v>Normal</v>
      </c>
      <c r="W162" t="str" cm="1">
        <f t="array" ref="W162">_xlfn.IFS(O162&gt;=7000,"Excellent",O162&gt;=4000,"Good",O162&lt;4000,"Average")</f>
        <v>Excellent</v>
      </c>
    </row>
    <row r="163" spans="1:23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2"/>
        <v>466.48400000000004</v>
      </c>
      <c r="Q163" s="1">
        <f t="shared" si="13"/>
        <v>8863.1959999999999</v>
      </c>
      <c r="R163" s="1" t="str">
        <f t="shared" si="14"/>
        <v>high</v>
      </c>
      <c r="S163" s="1" t="str" cm="1">
        <f t="array" ref="S163">_xlfn.IFS(L163&gt;5,"high",L163=5,"medium",L163&lt;5,"low")</f>
        <v>high</v>
      </c>
      <c r="T163" s="5" t="str">
        <f t="shared" si="15"/>
        <v>high</v>
      </c>
      <c r="U163" s="1">
        <f t="shared" si="16"/>
        <v>9820.7199999999993</v>
      </c>
      <c r="V163" t="str">
        <f t="shared" si="17"/>
        <v>Normal</v>
      </c>
      <c r="W163" t="str" cm="1">
        <f t="array" ref="W163">_xlfn.IFS(O163&gt;=7000,"Excellent",O163&gt;=4000,"Good",O163&lt;4000,"Average")</f>
        <v>Excellent</v>
      </c>
    </row>
    <row r="164" spans="1:23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2"/>
        <v>195.07600000000002</v>
      </c>
      <c r="Q164" s="1">
        <f t="shared" si="13"/>
        <v>780.30399999999997</v>
      </c>
      <c r="R164" s="1" t="str">
        <f t="shared" si="14"/>
        <v>low</v>
      </c>
      <c r="S164" s="1" t="str" cm="1">
        <f t="array" ref="S164">_xlfn.IFS(L164&gt;5,"high",L164=5,"medium",L164&lt;5,"low")</f>
        <v>low</v>
      </c>
      <c r="T164" s="5" t="str">
        <f t="shared" si="15"/>
        <v>low</v>
      </c>
      <c r="U164" s="1">
        <f t="shared" si="16"/>
        <v>1219.22</v>
      </c>
      <c r="V164" t="str">
        <f t="shared" si="17"/>
        <v>Heavy</v>
      </c>
      <c r="W164" t="str" cm="1">
        <f t="array" ref="W164">_xlfn.IFS(O164&gt;=7000,"Excellent",O164&gt;=4000,"Good",O164&lt;4000,"Average")</f>
        <v>Average</v>
      </c>
    </row>
    <row r="165" spans="1:23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2"/>
        <v>184.53200000000001</v>
      </c>
      <c r="Q165" s="1">
        <f t="shared" si="13"/>
        <v>738.12799999999993</v>
      </c>
      <c r="R165" s="1" t="str">
        <f t="shared" si="14"/>
        <v>low</v>
      </c>
      <c r="S165" s="1" t="str" cm="1">
        <f t="array" ref="S165">_xlfn.IFS(L165&gt;5,"high",L165=5,"medium",L165&lt;5,"low")</f>
        <v>low</v>
      </c>
      <c r="T165" s="5" t="str">
        <f t="shared" si="15"/>
        <v>low</v>
      </c>
      <c r="U165" s="1">
        <f t="shared" si="16"/>
        <v>1153.32</v>
      </c>
      <c r="V165" t="str">
        <f t="shared" si="17"/>
        <v>Heavy</v>
      </c>
      <c r="W165" t="str" cm="1">
        <f t="array" ref="W165">_xlfn.IFS(O165&gt;=7000,"Excellent",O165&gt;=4000,"Good",O165&lt;4000,"Average")</f>
        <v>Average</v>
      </c>
    </row>
    <row r="166" spans="1:23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2"/>
        <v>2379.9240000000004</v>
      </c>
      <c r="Q166" s="1">
        <f t="shared" si="13"/>
        <v>9519.6959999999999</v>
      </c>
      <c r="R166" s="1" t="str">
        <f t="shared" si="14"/>
        <v>low</v>
      </c>
      <c r="S166" s="1" t="str" cm="1">
        <f t="array" ref="S166">_xlfn.IFS(L166&gt;5,"high",L166=5,"medium",L166&lt;5,"low")</f>
        <v>low</v>
      </c>
      <c r="T166" s="5" t="str">
        <f t="shared" si="15"/>
        <v>low</v>
      </c>
      <c r="U166" s="1">
        <f t="shared" si="16"/>
        <v>14874.52</v>
      </c>
      <c r="V166" t="str">
        <f t="shared" si="17"/>
        <v>Heavy</v>
      </c>
      <c r="W166" t="str" cm="1">
        <f t="array" ref="W166">_xlfn.IFS(O166&gt;=7000,"Excellent",O166&gt;=4000,"Good",O166&lt;4000,"Average")</f>
        <v>Excellent</v>
      </c>
    </row>
    <row r="167" spans="1:23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2"/>
        <v>0</v>
      </c>
      <c r="Q167" s="1">
        <f t="shared" si="13"/>
        <v>6809.18</v>
      </c>
      <c r="R167" s="1" t="str">
        <f t="shared" si="14"/>
        <v>high</v>
      </c>
      <c r="S167" s="1" t="str" cm="1">
        <f t="array" ref="S167">_xlfn.IFS(L167&gt;5,"high",L167=5,"medium",L167&lt;5,"low")</f>
        <v>high</v>
      </c>
      <c r="T167" s="5" t="str">
        <f t="shared" si="15"/>
        <v>high</v>
      </c>
      <c r="U167" s="1">
        <f t="shared" si="16"/>
        <v>6809.18</v>
      </c>
      <c r="V167" t="str">
        <f t="shared" si="17"/>
        <v>Normal</v>
      </c>
      <c r="W167" t="str" cm="1">
        <f t="array" ref="W167">_xlfn.IFS(O167&gt;=7000,"Excellent",O167&gt;=4000,"Good",O167&lt;4000,"Average")</f>
        <v>Good</v>
      </c>
    </row>
    <row r="168" spans="1:23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2"/>
        <v>1577.0654999999999</v>
      </c>
      <c r="Q168" s="1">
        <f t="shared" si="13"/>
        <v>8936.7044999999998</v>
      </c>
      <c r="R168" s="1" t="str">
        <f t="shared" si="14"/>
        <v>high</v>
      </c>
      <c r="S168" s="1" t="str" cm="1">
        <f t="array" ref="S168">_xlfn.IFS(L168&gt;5,"high",L168=5,"medium",L168&lt;5,"low")</f>
        <v>high</v>
      </c>
      <c r="T168" s="5" t="str">
        <f t="shared" si="15"/>
        <v>high</v>
      </c>
      <c r="U168" s="1">
        <f t="shared" si="16"/>
        <v>12369.14</v>
      </c>
      <c r="V168" t="str">
        <f t="shared" si="17"/>
        <v>Heavy</v>
      </c>
      <c r="W168" t="str" cm="1">
        <f t="array" ref="W168">_xlfn.IFS(O168&gt;=7000,"Excellent",O168&gt;=4000,"Good",O168&lt;4000,"Average")</f>
        <v>Excellent</v>
      </c>
    </row>
    <row r="169" spans="1:23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2"/>
        <v>71.17</v>
      </c>
      <c r="Q169" s="1">
        <f t="shared" si="13"/>
        <v>1352.23</v>
      </c>
      <c r="R169" s="1" t="str">
        <f t="shared" si="14"/>
        <v>high</v>
      </c>
      <c r="S169" s="1" t="str" cm="1">
        <f t="array" ref="S169">_xlfn.IFS(L169&gt;5,"high",L169=5,"medium",L169&lt;5,"low")</f>
        <v>high</v>
      </c>
      <c r="T169" s="5" t="str">
        <f t="shared" si="15"/>
        <v>high</v>
      </c>
      <c r="U169" s="1">
        <f t="shared" si="16"/>
        <v>1498.32</v>
      </c>
      <c r="V169" t="str">
        <f t="shared" si="17"/>
        <v>Normal</v>
      </c>
      <c r="W169" t="str" cm="1">
        <f t="array" ref="W169">_xlfn.IFS(O169&gt;=7000,"Excellent",O169&gt;=4000,"Good",O169&lt;4000,"Average")</f>
        <v>Average</v>
      </c>
    </row>
    <row r="170" spans="1:23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2"/>
        <v>820.11850000000004</v>
      </c>
      <c r="Q170" s="1">
        <f t="shared" si="13"/>
        <v>15582.251499999998</v>
      </c>
      <c r="R170" s="1" t="str">
        <f t="shared" si="14"/>
        <v>high</v>
      </c>
      <c r="S170" s="1" t="str" cm="1">
        <f t="array" ref="S170">_xlfn.IFS(L170&gt;5,"high",L170=5,"medium",L170&lt;5,"low")</f>
        <v>medium</v>
      </c>
      <c r="T170" s="5" t="str">
        <f t="shared" si="15"/>
        <v>medium</v>
      </c>
      <c r="U170" s="1">
        <f t="shared" si="16"/>
        <v>17265.650000000001</v>
      </c>
      <c r="V170" t="str">
        <f t="shared" si="17"/>
        <v>Normal</v>
      </c>
      <c r="W170" t="str" cm="1">
        <f t="array" ref="W170">_xlfn.IFS(O170&gt;=7000,"Excellent",O170&gt;=4000,"Good",O170&lt;4000,"Average")</f>
        <v>Excellent</v>
      </c>
    </row>
    <row r="171" spans="1:23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2"/>
        <v>985.84900000000005</v>
      </c>
      <c r="Q171" s="1">
        <f t="shared" si="13"/>
        <v>18731.131000000001</v>
      </c>
      <c r="R171" s="1" t="str">
        <f t="shared" si="14"/>
        <v>high</v>
      </c>
      <c r="S171" s="1" t="str" cm="1">
        <f t="array" ref="S171">_xlfn.IFS(L171&gt;5,"high",L171=5,"medium",L171&lt;5,"low")</f>
        <v>high</v>
      </c>
      <c r="T171" s="5" t="str">
        <f t="shared" si="15"/>
        <v>high</v>
      </c>
      <c r="U171" s="1">
        <f t="shared" si="16"/>
        <v>20754.72</v>
      </c>
      <c r="V171" t="str">
        <f t="shared" si="17"/>
        <v>Normal</v>
      </c>
      <c r="W171" t="str" cm="1">
        <f t="array" ref="W171">_xlfn.IFS(O171&gt;=7000,"Excellent",O171&gt;=4000,"Good",O171&lt;4000,"Average")</f>
        <v>Excellent</v>
      </c>
    </row>
    <row r="172" spans="1:23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2"/>
        <v>1442.1040000000003</v>
      </c>
      <c r="Q172" s="1">
        <f t="shared" si="13"/>
        <v>27399.976000000002</v>
      </c>
      <c r="R172" s="1" t="str">
        <f t="shared" si="14"/>
        <v>high</v>
      </c>
      <c r="S172" s="1" t="str" cm="1">
        <f t="array" ref="S172">_xlfn.IFS(L172&gt;5,"high",L172=5,"medium",L172&lt;5,"low")</f>
        <v>high</v>
      </c>
      <c r="T172" s="5" t="str">
        <f t="shared" si="15"/>
        <v>high</v>
      </c>
      <c r="U172" s="1">
        <f t="shared" si="16"/>
        <v>30360.080000000002</v>
      </c>
      <c r="V172" t="str">
        <f t="shared" si="17"/>
        <v>Normal</v>
      </c>
      <c r="W172" t="str" cm="1">
        <f t="array" ref="W172">_xlfn.IFS(O172&gt;=7000,"Excellent",O172&gt;=4000,"Good",O172&lt;4000,"Average")</f>
        <v>Excellent</v>
      </c>
    </row>
    <row r="173" spans="1:23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2"/>
        <v>4549.2760000000007</v>
      </c>
      <c r="Q173" s="1">
        <f t="shared" si="13"/>
        <v>18197.103999999999</v>
      </c>
      <c r="R173" s="1" t="str">
        <f t="shared" si="14"/>
        <v>high</v>
      </c>
      <c r="S173" s="1" t="str" cm="1">
        <f t="array" ref="S173">_xlfn.IFS(L173&gt;5,"high",L173=5,"medium",L173&lt;5,"low")</f>
        <v>high</v>
      </c>
      <c r="T173" s="5" t="str">
        <f t="shared" si="15"/>
        <v>high</v>
      </c>
      <c r="U173" s="1">
        <f t="shared" si="16"/>
        <v>28432.98</v>
      </c>
      <c r="V173" t="str">
        <f t="shared" si="17"/>
        <v>Heavy</v>
      </c>
      <c r="W173" t="str" cm="1">
        <f t="array" ref="W173">_xlfn.IFS(O173&gt;=7000,"Excellent",O173&gt;=4000,"Good",O173&lt;4000,"Average")</f>
        <v>Excellent</v>
      </c>
    </row>
    <row r="174" spans="1:23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2"/>
        <v>193.482</v>
      </c>
      <c r="Q174" s="1">
        <f t="shared" si="13"/>
        <v>3676.1579999999999</v>
      </c>
      <c r="R174" s="1" t="str">
        <f t="shared" si="14"/>
        <v>low</v>
      </c>
      <c r="S174" s="1" t="str" cm="1">
        <f t="array" ref="S174">_xlfn.IFS(L174&gt;5,"high",L174=5,"medium",L174&lt;5,"low")</f>
        <v>low</v>
      </c>
      <c r="T174" s="5" t="str">
        <f t="shared" si="15"/>
        <v>low</v>
      </c>
      <c r="U174" s="1">
        <f t="shared" si="16"/>
        <v>4073.31</v>
      </c>
      <c r="V174" t="str">
        <f t="shared" si="17"/>
        <v>Normal</v>
      </c>
      <c r="W174" t="str" cm="1">
        <f t="array" ref="W174">_xlfn.IFS(O174&gt;=7000,"Excellent",O174&gt;=4000,"Good",O174&lt;4000,"Average")</f>
        <v>Average</v>
      </c>
    </row>
    <row r="175" spans="1:23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2"/>
        <v>422.39849999999996</v>
      </c>
      <c r="Q175" s="1">
        <f t="shared" si="13"/>
        <v>2393.5915</v>
      </c>
      <c r="R175" s="1" t="str">
        <f t="shared" si="14"/>
        <v>low</v>
      </c>
      <c r="S175" s="1" t="str" cm="1">
        <f t="array" ref="S175">_xlfn.IFS(L175&gt;5,"high",L175=5,"medium",L175&lt;5,"low")</f>
        <v>low</v>
      </c>
      <c r="T175" s="5" t="str">
        <f t="shared" si="15"/>
        <v>low</v>
      </c>
      <c r="U175" s="1">
        <f t="shared" si="16"/>
        <v>3312.93</v>
      </c>
      <c r="V175" t="str">
        <f t="shared" si="17"/>
        <v>Heavy</v>
      </c>
      <c r="W175" t="str" cm="1">
        <f t="array" ref="W175">_xlfn.IFS(O175&gt;=7000,"Excellent",O175&gt;=4000,"Good",O175&lt;4000,"Average")</f>
        <v>Average</v>
      </c>
    </row>
    <row r="176" spans="1:23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2"/>
        <v>1815.1740000000002</v>
      </c>
      <c r="Q176" s="1">
        <f t="shared" si="13"/>
        <v>7260.6960000000008</v>
      </c>
      <c r="R176" s="1" t="str">
        <f t="shared" si="14"/>
        <v>low</v>
      </c>
      <c r="S176" s="1" t="str" cm="1">
        <f t="array" ref="S176">_xlfn.IFS(L176&gt;5,"high",L176=5,"medium",L176&lt;5,"low")</f>
        <v>low</v>
      </c>
      <c r="T176" s="5" t="str">
        <f t="shared" si="15"/>
        <v>low</v>
      </c>
      <c r="U176" s="1">
        <f t="shared" si="16"/>
        <v>11344.84</v>
      </c>
      <c r="V176" t="str">
        <f t="shared" si="17"/>
        <v>Heavy</v>
      </c>
      <c r="W176" t="str" cm="1">
        <f t="array" ref="W176">_xlfn.IFS(O176&gt;=7000,"Excellent",O176&gt;=4000,"Good",O176&lt;4000,"Average")</f>
        <v>Excellent</v>
      </c>
    </row>
    <row r="177" spans="1:23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2"/>
        <v>368.55950000000001</v>
      </c>
      <c r="Q177" s="1">
        <f t="shared" si="13"/>
        <v>7002.6304999999993</v>
      </c>
      <c r="R177" s="1" t="str">
        <f t="shared" si="14"/>
        <v>high</v>
      </c>
      <c r="S177" s="1" t="str" cm="1">
        <f t="array" ref="S177">_xlfn.IFS(L177&gt;5,"high",L177=5,"medium",L177&lt;5,"low")</f>
        <v>medium</v>
      </c>
      <c r="T177" s="5" t="str">
        <f t="shared" si="15"/>
        <v>medium</v>
      </c>
      <c r="U177" s="1">
        <f t="shared" si="16"/>
        <v>7759.15</v>
      </c>
      <c r="V177" t="str">
        <f t="shared" si="17"/>
        <v>Normal</v>
      </c>
      <c r="W177" t="str" cm="1">
        <f t="array" ref="W177">_xlfn.IFS(O177&gt;=7000,"Excellent",O177&gt;=4000,"Good",O177&lt;4000,"Average")</f>
        <v>Excellent</v>
      </c>
    </row>
    <row r="178" spans="1:23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2"/>
        <v>0</v>
      </c>
      <c r="Q178" s="1">
        <f t="shared" si="13"/>
        <v>2329.9299999999998</v>
      </c>
      <c r="R178" s="1" t="str">
        <f t="shared" si="14"/>
        <v>low</v>
      </c>
      <c r="S178" s="1" t="str" cm="1">
        <f t="array" ref="S178">_xlfn.IFS(L178&gt;5,"high",L178=5,"medium",L178&lt;5,"low")</f>
        <v>low</v>
      </c>
      <c r="T178" s="5" t="str">
        <f t="shared" si="15"/>
        <v>low</v>
      </c>
      <c r="U178" s="1">
        <f t="shared" si="16"/>
        <v>2329.9299999999998</v>
      </c>
      <c r="V178" t="str">
        <f t="shared" si="17"/>
        <v>Normal</v>
      </c>
      <c r="W178" t="str" cm="1">
        <f t="array" ref="W178">_xlfn.IFS(O178&gt;=7000,"Excellent",O178&gt;=4000,"Good",O178&lt;4000,"Average")</f>
        <v>Average</v>
      </c>
    </row>
    <row r="179" spans="1:23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2"/>
        <v>109.67700000000001</v>
      </c>
      <c r="Q179" s="1">
        <f t="shared" si="13"/>
        <v>987.09299999999996</v>
      </c>
      <c r="R179" s="1" t="str">
        <f t="shared" si="14"/>
        <v>high</v>
      </c>
      <c r="S179" s="1" t="str" cm="1">
        <f t="array" ref="S179">_xlfn.IFS(L179&gt;5,"high",L179=5,"medium",L179&lt;5,"low")</f>
        <v>high</v>
      </c>
      <c r="T179" s="5" t="str">
        <f t="shared" si="15"/>
        <v>high</v>
      </c>
      <c r="U179" s="1">
        <f t="shared" si="16"/>
        <v>1218.6300000000001</v>
      </c>
      <c r="V179" t="str">
        <f t="shared" si="17"/>
        <v>Normal</v>
      </c>
      <c r="W179" t="str" cm="1">
        <f t="array" ref="W179">_xlfn.IFS(O179&gt;=7000,"Excellent",O179&gt;=4000,"Good",O179&lt;4000,"Average")</f>
        <v>Average</v>
      </c>
    </row>
    <row r="180" spans="1:23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2"/>
        <v>314.49099999999999</v>
      </c>
      <c r="Q180" s="1">
        <f t="shared" si="13"/>
        <v>2830.4189999999999</v>
      </c>
      <c r="R180" s="1" t="str">
        <f t="shared" si="14"/>
        <v>high</v>
      </c>
      <c r="S180" s="1" t="str" cm="1">
        <f t="array" ref="S180">_xlfn.IFS(L180&gt;5,"high",L180=5,"medium",L180&lt;5,"low")</f>
        <v>high</v>
      </c>
      <c r="T180" s="5" t="str">
        <f t="shared" si="15"/>
        <v>high</v>
      </c>
      <c r="U180" s="1">
        <f t="shared" si="16"/>
        <v>3494.34</v>
      </c>
      <c r="V180" t="str">
        <f t="shared" si="17"/>
        <v>Normal</v>
      </c>
      <c r="W180" t="str" cm="1">
        <f t="array" ref="W180">_xlfn.IFS(O180&gt;=7000,"Excellent",O180&gt;=4000,"Good",O180&lt;4000,"Average")</f>
        <v>Average</v>
      </c>
    </row>
    <row r="181" spans="1:23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2"/>
        <v>1592.0420000000001</v>
      </c>
      <c r="Q181" s="1">
        <f t="shared" si="13"/>
        <v>14328.378000000001</v>
      </c>
      <c r="R181" s="1" t="str">
        <f t="shared" si="14"/>
        <v>high</v>
      </c>
      <c r="S181" s="1" t="str" cm="1">
        <f t="array" ref="S181">_xlfn.IFS(L181&gt;5,"high",L181=5,"medium",L181&lt;5,"low")</f>
        <v>high</v>
      </c>
      <c r="T181" s="5" t="str">
        <f t="shared" si="15"/>
        <v>high</v>
      </c>
      <c r="U181" s="1">
        <f t="shared" si="16"/>
        <v>17689.36</v>
      </c>
      <c r="V181" t="str">
        <f t="shared" si="17"/>
        <v>Normal</v>
      </c>
      <c r="W181" t="str" cm="1">
        <f t="array" ref="W181">_xlfn.IFS(O181&gt;=7000,"Excellent",O181&gt;=4000,"Good",O181&lt;4000,"Average")</f>
        <v>Excellent</v>
      </c>
    </row>
    <row r="182" spans="1:23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2"/>
        <v>1863.5040000000001</v>
      </c>
      <c r="Q182" s="1">
        <f t="shared" si="13"/>
        <v>7454.0160000000005</v>
      </c>
      <c r="R182" s="1" t="str">
        <f t="shared" si="14"/>
        <v>high</v>
      </c>
      <c r="S182" s="1" t="str" cm="1">
        <f t="array" ref="S182">_xlfn.IFS(L182&gt;5,"high",L182=5,"medium",L182&lt;5,"low")</f>
        <v>medium</v>
      </c>
      <c r="T182" s="5" t="str">
        <f t="shared" si="15"/>
        <v>medium</v>
      </c>
      <c r="U182" s="1">
        <f t="shared" si="16"/>
        <v>11646.900000000001</v>
      </c>
      <c r="V182" t="str">
        <f t="shared" si="17"/>
        <v>Heavy</v>
      </c>
      <c r="W182" t="str" cm="1">
        <f t="array" ref="W182">_xlfn.IFS(O182&gt;=7000,"Excellent",O182&gt;=4000,"Good",O182&lt;4000,"Average")</f>
        <v>Excellent</v>
      </c>
    </row>
    <row r="183" spans="1:23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2"/>
        <v>578.18700000000001</v>
      </c>
      <c r="Q183" s="1">
        <f t="shared" si="13"/>
        <v>10985.553</v>
      </c>
      <c r="R183" s="1" t="str">
        <f t="shared" si="14"/>
        <v>low</v>
      </c>
      <c r="S183" s="1" t="str" cm="1">
        <f t="array" ref="S183">_xlfn.IFS(L183&gt;5,"high",L183=5,"medium",L183&lt;5,"low")</f>
        <v>low</v>
      </c>
      <c r="T183" s="5" t="str">
        <f t="shared" si="15"/>
        <v>low</v>
      </c>
      <c r="U183" s="1">
        <f t="shared" si="16"/>
        <v>12172.36</v>
      </c>
      <c r="V183" t="str">
        <f t="shared" si="17"/>
        <v>Normal</v>
      </c>
      <c r="W183" t="str" cm="1">
        <f t="array" ref="W183">_xlfn.IFS(O183&gt;=7000,"Excellent",O183&gt;=4000,"Good",O183&lt;4000,"Average")</f>
        <v>Excellent</v>
      </c>
    </row>
    <row r="184" spans="1:23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2"/>
        <v>737.03800000000001</v>
      </c>
      <c r="Q184" s="1">
        <f t="shared" si="13"/>
        <v>2948.152</v>
      </c>
      <c r="R184" s="1" t="str">
        <f t="shared" si="14"/>
        <v>high</v>
      </c>
      <c r="S184" s="1" t="str" cm="1">
        <f t="array" ref="S184">_xlfn.IFS(L184&gt;5,"high",L184=5,"medium",L184&lt;5,"low")</f>
        <v>high</v>
      </c>
      <c r="T184" s="5" t="str">
        <f t="shared" si="15"/>
        <v>high</v>
      </c>
      <c r="U184" s="1">
        <f t="shared" si="16"/>
        <v>4606.4900000000007</v>
      </c>
      <c r="V184" t="str">
        <f t="shared" si="17"/>
        <v>Heavy</v>
      </c>
      <c r="W184" t="str" cm="1">
        <f t="array" ref="W184">_xlfn.IFS(O184&gt;=7000,"Excellent",O184&gt;=4000,"Good",O184&lt;4000,"Average")</f>
        <v>Average</v>
      </c>
    </row>
    <row r="185" spans="1:23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2"/>
        <v>1355.1659999999999</v>
      </c>
      <c r="Q185" s="1">
        <f t="shared" si="13"/>
        <v>7679.2740000000003</v>
      </c>
      <c r="R185" s="1" t="str">
        <f t="shared" si="14"/>
        <v>high</v>
      </c>
      <c r="S185" s="1" t="str" cm="1">
        <f t="array" ref="S185">_xlfn.IFS(L185&gt;5,"high",L185=5,"medium",L185&lt;5,"low")</f>
        <v>medium</v>
      </c>
      <c r="T185" s="5" t="str">
        <f t="shared" si="15"/>
        <v>medium</v>
      </c>
      <c r="U185" s="1">
        <f t="shared" si="16"/>
        <v>10628.75</v>
      </c>
      <c r="V185" t="str">
        <f t="shared" si="17"/>
        <v>Heavy</v>
      </c>
      <c r="W185" t="str" cm="1">
        <f t="array" ref="W185">_xlfn.IFS(O185&gt;=7000,"Excellent",O185&gt;=4000,"Good",O185&lt;4000,"Average")</f>
        <v>Excellent</v>
      </c>
    </row>
    <row r="186" spans="1:23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2"/>
        <v>0</v>
      </c>
      <c r="Q186" s="1">
        <f t="shared" si="13"/>
        <v>6290.34</v>
      </c>
      <c r="R186" s="1" t="str">
        <f t="shared" si="14"/>
        <v>high</v>
      </c>
      <c r="S186" s="1" t="str" cm="1">
        <f t="array" ref="S186">_xlfn.IFS(L186&gt;5,"high",L186=5,"medium",L186&lt;5,"low")</f>
        <v>high</v>
      </c>
      <c r="T186" s="5" t="str">
        <f t="shared" si="15"/>
        <v>high</v>
      </c>
      <c r="U186" s="1">
        <f t="shared" si="16"/>
        <v>6290.34</v>
      </c>
      <c r="V186" t="str">
        <f t="shared" si="17"/>
        <v>Normal</v>
      </c>
      <c r="W186" t="str" cm="1">
        <f t="array" ref="W186">_xlfn.IFS(O186&gt;=7000,"Excellent",O186&gt;=4000,"Good",O186&lt;4000,"Average")</f>
        <v>Good</v>
      </c>
    </row>
    <row r="187" spans="1:23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2"/>
        <v>0</v>
      </c>
      <c r="Q187" s="1">
        <f t="shared" si="13"/>
        <v>508.81</v>
      </c>
      <c r="R187" s="1" t="str">
        <f t="shared" si="14"/>
        <v>low</v>
      </c>
      <c r="S187" s="1" t="str" cm="1">
        <f t="array" ref="S187">_xlfn.IFS(L187&gt;5,"high",L187=5,"medium",L187&lt;5,"low")</f>
        <v>low</v>
      </c>
      <c r="T187" s="5" t="str">
        <f t="shared" si="15"/>
        <v>low</v>
      </c>
      <c r="U187" s="1">
        <f t="shared" si="16"/>
        <v>508.81</v>
      </c>
      <c r="V187" t="str">
        <f t="shared" si="17"/>
        <v>Normal</v>
      </c>
      <c r="W187" t="str" cm="1">
        <f t="array" ref="W187">_xlfn.IFS(O187&gt;=7000,"Excellent",O187&gt;=4000,"Good",O187&lt;4000,"Average")</f>
        <v>Average</v>
      </c>
    </row>
    <row r="188" spans="1:23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2"/>
        <v>155.73699999999999</v>
      </c>
      <c r="Q188" s="1">
        <f t="shared" si="13"/>
        <v>1401.6329999999998</v>
      </c>
      <c r="R188" s="1" t="str">
        <f t="shared" si="14"/>
        <v>low</v>
      </c>
      <c r="S188" s="1" t="str" cm="1">
        <f t="array" ref="S188">_xlfn.IFS(L188&gt;5,"high",L188=5,"medium",L188&lt;5,"low")</f>
        <v>low</v>
      </c>
      <c r="T188" s="5" t="str">
        <f t="shared" si="15"/>
        <v>low</v>
      </c>
      <c r="U188" s="1">
        <f t="shared" si="16"/>
        <v>1730.41</v>
      </c>
      <c r="V188" t="str">
        <f t="shared" si="17"/>
        <v>Normal</v>
      </c>
      <c r="W188" t="str" cm="1">
        <f t="array" ref="W188">_xlfn.IFS(O188&gt;=7000,"Excellent",O188&gt;=4000,"Good",O188&lt;4000,"Average")</f>
        <v>Average</v>
      </c>
    </row>
    <row r="189" spans="1:23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2"/>
        <v>210.28899999999999</v>
      </c>
      <c r="Q189" s="1">
        <f t="shared" si="13"/>
        <v>1892.6009999999999</v>
      </c>
      <c r="R189" s="1" t="str">
        <f t="shared" si="14"/>
        <v>low</v>
      </c>
      <c r="S189" s="1" t="str" cm="1">
        <f t="array" ref="S189">_xlfn.IFS(L189&gt;5,"high",L189=5,"medium",L189&lt;5,"low")</f>
        <v>low</v>
      </c>
      <c r="T189" s="5" t="str">
        <f t="shared" si="15"/>
        <v>low</v>
      </c>
      <c r="U189" s="1">
        <f t="shared" si="16"/>
        <v>2336.5500000000002</v>
      </c>
      <c r="V189" t="str">
        <f t="shared" si="17"/>
        <v>Normal</v>
      </c>
      <c r="W189" t="str" cm="1">
        <f t="array" ref="W189">_xlfn.IFS(O189&gt;=7000,"Excellent",O189&gt;=4000,"Good",O189&lt;4000,"Average")</f>
        <v>Average</v>
      </c>
    </row>
    <row r="190" spans="1:23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2"/>
        <v>180.69500000000002</v>
      </c>
      <c r="Q190" s="1">
        <f t="shared" si="13"/>
        <v>1626.2550000000001</v>
      </c>
      <c r="R190" s="1" t="str">
        <f t="shared" si="14"/>
        <v>low</v>
      </c>
      <c r="S190" s="1" t="str" cm="1">
        <f t="array" ref="S190">_xlfn.IFS(L190&gt;5,"high",L190=5,"medium",L190&lt;5,"low")</f>
        <v>low</v>
      </c>
      <c r="T190" s="5" t="str">
        <f t="shared" si="15"/>
        <v>low</v>
      </c>
      <c r="U190" s="1">
        <f t="shared" si="16"/>
        <v>2007.72</v>
      </c>
      <c r="V190" t="str">
        <f t="shared" si="17"/>
        <v>Normal</v>
      </c>
      <c r="W190" t="str" cm="1">
        <f t="array" ref="W190">_xlfn.IFS(O190&gt;=7000,"Excellent",O190&gt;=4000,"Good",O190&lt;4000,"Average")</f>
        <v>Average</v>
      </c>
    </row>
    <row r="191" spans="1:23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2"/>
        <v>130.39600000000002</v>
      </c>
      <c r="Q191" s="1">
        <f t="shared" si="13"/>
        <v>2477.5239999999999</v>
      </c>
      <c r="R191" s="1" t="str">
        <f t="shared" si="14"/>
        <v>low</v>
      </c>
      <c r="S191" s="1" t="str" cm="1">
        <f t="array" ref="S191">_xlfn.IFS(L191&gt;5,"high",L191=5,"medium",L191&lt;5,"low")</f>
        <v>low</v>
      </c>
      <c r="T191" s="5" t="str">
        <f t="shared" si="15"/>
        <v>low</v>
      </c>
      <c r="U191" s="1">
        <f t="shared" si="16"/>
        <v>2745.18</v>
      </c>
      <c r="V191" t="str">
        <f t="shared" si="17"/>
        <v>Normal</v>
      </c>
      <c r="W191" t="str" cm="1">
        <f t="array" ref="W191">_xlfn.IFS(O191&gt;=7000,"Excellent",O191&gt;=4000,"Good",O191&lt;4000,"Average")</f>
        <v>Average</v>
      </c>
    </row>
    <row r="192" spans="1:23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2"/>
        <v>1025.1704999999999</v>
      </c>
      <c r="Q192" s="1">
        <f t="shared" si="13"/>
        <v>5809.2995000000001</v>
      </c>
      <c r="R192" s="1" t="str">
        <f t="shared" si="14"/>
        <v>high</v>
      </c>
      <c r="S192" s="1" t="str" cm="1">
        <f t="array" ref="S192">_xlfn.IFS(L192&gt;5,"high",L192=5,"medium",L192&lt;5,"low")</f>
        <v>high</v>
      </c>
      <c r="T192" s="5" t="str">
        <f t="shared" si="15"/>
        <v>high</v>
      </c>
      <c r="U192" s="1">
        <f t="shared" si="16"/>
        <v>8040.5500000000011</v>
      </c>
      <c r="V192" t="str">
        <f t="shared" si="17"/>
        <v>Heavy</v>
      </c>
      <c r="W192" t="str" cm="1">
        <f t="array" ref="W192">_xlfn.IFS(O192&gt;=7000,"Excellent",O192&gt;=4000,"Good",O192&lt;4000,"Average")</f>
        <v>Good</v>
      </c>
    </row>
    <row r="193" spans="1:23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2"/>
        <v>124.24349999999998</v>
      </c>
      <c r="Q193" s="1">
        <f t="shared" si="13"/>
        <v>704.04649999999992</v>
      </c>
      <c r="R193" s="1" t="str">
        <f t="shared" si="14"/>
        <v>low</v>
      </c>
      <c r="S193" s="1" t="str" cm="1">
        <f t="array" ref="S193">_xlfn.IFS(L193&gt;5,"high",L193=5,"medium",L193&lt;5,"low")</f>
        <v>low</v>
      </c>
      <c r="T193" s="5" t="str">
        <f t="shared" si="15"/>
        <v>low</v>
      </c>
      <c r="U193" s="1">
        <f t="shared" si="16"/>
        <v>974.46</v>
      </c>
      <c r="V193" t="str">
        <f t="shared" si="17"/>
        <v>Heavy</v>
      </c>
      <c r="W193" t="str" cm="1">
        <f t="array" ref="W193">_xlfn.IFS(O193&gt;=7000,"Excellent",O193&gt;=4000,"Good",O193&lt;4000,"Average")</f>
        <v>Average</v>
      </c>
    </row>
    <row r="194" spans="1:23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2"/>
        <v>253.05149999999998</v>
      </c>
      <c r="Q194" s="1">
        <f t="shared" si="13"/>
        <v>1433.9585</v>
      </c>
      <c r="R194" s="1" t="str">
        <f t="shared" si="14"/>
        <v>low</v>
      </c>
      <c r="S194" s="1" t="str" cm="1">
        <f t="array" ref="S194">_xlfn.IFS(L194&gt;5,"high",L194=5,"medium",L194&lt;5,"low")</f>
        <v>low</v>
      </c>
      <c r="T194" s="5" t="str">
        <f t="shared" si="15"/>
        <v>low</v>
      </c>
      <c r="U194" s="1">
        <f t="shared" si="16"/>
        <v>1984.72</v>
      </c>
      <c r="V194" t="str">
        <f t="shared" si="17"/>
        <v>Heavy</v>
      </c>
      <c r="W194" t="str" cm="1">
        <f t="array" ref="W194">_xlfn.IFS(O194&gt;=7000,"Excellent",O194&gt;=4000,"Good",O194&lt;4000,"Average")</f>
        <v>Average</v>
      </c>
    </row>
    <row r="195" spans="1:23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8">O195*N195%</f>
        <v>227.97299999999998</v>
      </c>
      <c r="Q195" s="1">
        <f t="shared" ref="Q195:Q258" si="19">O195-P195</f>
        <v>1291.847</v>
      </c>
      <c r="R195" s="1" t="str">
        <f t="shared" ref="R195:R258" si="20">IF(L195&gt;=5,"high","low")</f>
        <v>low</v>
      </c>
      <c r="S195" s="1" t="str" cm="1">
        <f t="array" ref="S195">_xlfn.IFS(L195&gt;5,"high",L195=5,"medium",L195&lt;5,"low")</f>
        <v>low</v>
      </c>
      <c r="T195" s="5" t="str">
        <f t="shared" ref="T195:T258" si="21">IF(L195&gt;5,"high",IF(L195=5,"medium","low"))</f>
        <v>low</v>
      </c>
      <c r="U195" s="1">
        <f t="shared" ref="U195:U258" si="22">L195*M195</f>
        <v>1788.02</v>
      </c>
      <c r="V195" t="str">
        <f t="shared" ref="V195:V258" si="23">IF(N195&gt;10,"Heavy","Normal")</f>
        <v>Heavy</v>
      </c>
      <c r="W195" t="str" cm="1">
        <f t="array" ref="W195">_xlfn.IFS(O195&gt;=7000,"Excellent",O195&gt;=4000,"Good",O195&lt;4000,"Average")</f>
        <v>Average</v>
      </c>
    </row>
    <row r="196" spans="1:23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8"/>
        <v>186.11099999999999</v>
      </c>
      <c r="Q196" s="1">
        <f t="shared" si="19"/>
        <v>1674.9989999999998</v>
      </c>
      <c r="R196" s="1" t="str">
        <f t="shared" si="20"/>
        <v>high</v>
      </c>
      <c r="S196" s="1" t="str" cm="1">
        <f t="array" ref="S196">_xlfn.IFS(L196&gt;5,"high",L196=5,"medium",L196&lt;5,"low")</f>
        <v>high</v>
      </c>
      <c r="T196" s="5" t="str">
        <f t="shared" si="21"/>
        <v>high</v>
      </c>
      <c r="U196" s="1">
        <f t="shared" si="22"/>
        <v>2067.8999999999996</v>
      </c>
      <c r="V196" t="str">
        <f t="shared" si="23"/>
        <v>Normal</v>
      </c>
      <c r="W196" t="str" cm="1">
        <f t="array" ref="W196">_xlfn.IFS(O196&gt;=7000,"Excellent",O196&gt;=4000,"Good",O196&lt;4000,"Average")</f>
        <v>Average</v>
      </c>
    </row>
    <row r="197" spans="1:23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8"/>
        <v>0</v>
      </c>
      <c r="Q197" s="1">
        <f t="shared" si="19"/>
        <v>20494.88</v>
      </c>
      <c r="R197" s="1" t="str">
        <f t="shared" si="20"/>
        <v>high</v>
      </c>
      <c r="S197" s="1" t="str" cm="1">
        <f t="array" ref="S197">_xlfn.IFS(L197&gt;5,"high",L197=5,"medium",L197&lt;5,"low")</f>
        <v>high</v>
      </c>
      <c r="T197" s="5" t="str">
        <f t="shared" si="21"/>
        <v>high</v>
      </c>
      <c r="U197" s="1">
        <f t="shared" si="22"/>
        <v>20494.88</v>
      </c>
      <c r="V197" t="str">
        <f t="shared" si="23"/>
        <v>Normal</v>
      </c>
      <c r="W197" t="str" cm="1">
        <f t="array" ref="W197">_xlfn.IFS(O197&gt;=7000,"Excellent",O197&gt;=4000,"Good",O197&lt;4000,"Average")</f>
        <v>Excellent</v>
      </c>
    </row>
    <row r="198" spans="1:23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8"/>
        <v>452.23599999999999</v>
      </c>
      <c r="Q198" s="1">
        <f t="shared" si="19"/>
        <v>4070.1239999999998</v>
      </c>
      <c r="R198" s="1" t="str">
        <f t="shared" si="20"/>
        <v>low</v>
      </c>
      <c r="S198" s="1" t="str" cm="1">
        <f t="array" ref="S198">_xlfn.IFS(L198&gt;5,"high",L198=5,"medium",L198&lt;5,"low")</f>
        <v>low</v>
      </c>
      <c r="T198" s="5" t="str">
        <f t="shared" si="21"/>
        <v>low</v>
      </c>
      <c r="U198" s="1">
        <f t="shared" si="22"/>
        <v>5024.84</v>
      </c>
      <c r="V198" t="str">
        <f t="shared" si="23"/>
        <v>Normal</v>
      </c>
      <c r="W198" t="str" cm="1">
        <f t="array" ref="W198">_xlfn.IFS(O198&gt;=7000,"Excellent",O198&gt;=4000,"Good",O198&lt;4000,"Average")</f>
        <v>Good</v>
      </c>
    </row>
    <row r="199" spans="1:23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8"/>
        <v>782.226</v>
      </c>
      <c r="Q199" s="1">
        <f t="shared" si="19"/>
        <v>4432.6140000000005</v>
      </c>
      <c r="R199" s="1" t="str">
        <f t="shared" si="20"/>
        <v>high</v>
      </c>
      <c r="S199" s="1" t="str" cm="1">
        <f t="array" ref="S199">_xlfn.IFS(L199&gt;5,"high",L199=5,"medium",L199&lt;5,"low")</f>
        <v>medium</v>
      </c>
      <c r="T199" s="5" t="str">
        <f t="shared" si="21"/>
        <v>medium</v>
      </c>
      <c r="U199" s="1">
        <f t="shared" si="22"/>
        <v>6135.1</v>
      </c>
      <c r="V199" t="str">
        <f t="shared" si="23"/>
        <v>Heavy</v>
      </c>
      <c r="W199" t="str" cm="1">
        <f t="array" ref="W199">_xlfn.IFS(O199&gt;=7000,"Excellent",O199&gt;=4000,"Good",O199&lt;4000,"Average")</f>
        <v>Good</v>
      </c>
    </row>
    <row r="200" spans="1:23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8"/>
        <v>514.14800000000002</v>
      </c>
      <c r="Q200" s="1">
        <f t="shared" si="19"/>
        <v>4627.3319999999994</v>
      </c>
      <c r="R200" s="1" t="str">
        <f t="shared" si="20"/>
        <v>low</v>
      </c>
      <c r="S200" s="1" t="str" cm="1">
        <f t="array" ref="S200">_xlfn.IFS(L200&gt;5,"high",L200=5,"medium",L200&lt;5,"low")</f>
        <v>low</v>
      </c>
      <c r="T200" s="5" t="str">
        <f t="shared" si="21"/>
        <v>low</v>
      </c>
      <c r="U200" s="1">
        <f t="shared" si="22"/>
        <v>5712.76</v>
      </c>
      <c r="V200" t="str">
        <f t="shared" si="23"/>
        <v>Normal</v>
      </c>
      <c r="W200" t="str" cm="1">
        <f t="array" ref="W200">_xlfn.IFS(O200&gt;=7000,"Excellent",O200&gt;=4000,"Good",O200&lt;4000,"Average")</f>
        <v>Good</v>
      </c>
    </row>
    <row r="201" spans="1:23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8"/>
        <v>1033.4265</v>
      </c>
      <c r="Q201" s="1">
        <f t="shared" si="19"/>
        <v>5856.0835000000006</v>
      </c>
      <c r="R201" s="1" t="str">
        <f t="shared" si="20"/>
        <v>low</v>
      </c>
      <c r="S201" s="1" t="str" cm="1">
        <f t="array" ref="S201">_xlfn.IFS(L201&gt;5,"high",L201=5,"medium",L201&lt;5,"low")</f>
        <v>low</v>
      </c>
      <c r="T201" s="5" t="str">
        <f t="shared" si="21"/>
        <v>low</v>
      </c>
      <c r="U201" s="1">
        <f t="shared" si="22"/>
        <v>8105.3099999999995</v>
      </c>
      <c r="V201" t="str">
        <f t="shared" si="23"/>
        <v>Heavy</v>
      </c>
      <c r="W201" t="str" cm="1">
        <f t="array" ref="W201">_xlfn.IFS(O201&gt;=7000,"Excellent",O201&gt;=4000,"Good",O201&lt;4000,"Average")</f>
        <v>Good</v>
      </c>
    </row>
    <row r="202" spans="1:23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8"/>
        <v>2801.5520000000001</v>
      </c>
      <c r="Q202" s="1">
        <f t="shared" si="19"/>
        <v>11206.208000000001</v>
      </c>
      <c r="R202" s="1" t="str">
        <f t="shared" si="20"/>
        <v>high</v>
      </c>
      <c r="S202" s="1" t="str" cm="1">
        <f t="array" ref="S202">_xlfn.IFS(L202&gt;5,"high",L202=5,"medium",L202&lt;5,"low")</f>
        <v>medium</v>
      </c>
      <c r="T202" s="5" t="str">
        <f t="shared" si="21"/>
        <v>medium</v>
      </c>
      <c r="U202" s="1">
        <f t="shared" si="22"/>
        <v>17509.7</v>
      </c>
      <c r="V202" t="str">
        <f t="shared" si="23"/>
        <v>Heavy</v>
      </c>
      <c r="W202" t="str" cm="1">
        <f t="array" ref="W202">_xlfn.IFS(O202&gt;=7000,"Excellent",O202&gt;=4000,"Good",O202&lt;4000,"Average")</f>
        <v>Excellent</v>
      </c>
    </row>
    <row r="203" spans="1:23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8"/>
        <v>0</v>
      </c>
      <c r="Q203" s="1">
        <f t="shared" si="19"/>
        <v>27652.32</v>
      </c>
      <c r="R203" s="1" t="str">
        <f t="shared" si="20"/>
        <v>high</v>
      </c>
      <c r="S203" s="1" t="str" cm="1">
        <f t="array" ref="S203">_xlfn.IFS(L203&gt;5,"high",L203=5,"medium",L203&lt;5,"low")</f>
        <v>high</v>
      </c>
      <c r="T203" s="5" t="str">
        <f t="shared" si="21"/>
        <v>high</v>
      </c>
      <c r="U203" s="1">
        <f t="shared" si="22"/>
        <v>27652.32</v>
      </c>
      <c r="V203" t="str">
        <f t="shared" si="23"/>
        <v>Normal</v>
      </c>
      <c r="W203" t="str" cm="1">
        <f t="array" ref="W203">_xlfn.IFS(O203&gt;=7000,"Excellent",O203&gt;=4000,"Good",O203&lt;4000,"Average")</f>
        <v>Excellent</v>
      </c>
    </row>
    <row r="204" spans="1:23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8"/>
        <v>3777.268</v>
      </c>
      <c r="Q204" s="1">
        <f t="shared" si="19"/>
        <v>15109.072</v>
      </c>
      <c r="R204" s="1" t="str">
        <f t="shared" si="20"/>
        <v>high</v>
      </c>
      <c r="S204" s="1" t="str" cm="1">
        <f t="array" ref="S204">_xlfn.IFS(L204&gt;5,"high",L204=5,"medium",L204&lt;5,"low")</f>
        <v>high</v>
      </c>
      <c r="T204" s="5" t="str">
        <f t="shared" si="21"/>
        <v>high</v>
      </c>
      <c r="U204" s="1">
        <f t="shared" si="22"/>
        <v>23607.919999999998</v>
      </c>
      <c r="V204" t="str">
        <f t="shared" si="23"/>
        <v>Heavy</v>
      </c>
      <c r="W204" t="str" cm="1">
        <f t="array" ref="W204">_xlfn.IFS(O204&gt;=7000,"Excellent",O204&gt;=4000,"Good",O204&lt;4000,"Average")</f>
        <v>Excellent</v>
      </c>
    </row>
    <row r="205" spans="1:23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8"/>
        <v>765.66600000000005</v>
      </c>
      <c r="Q205" s="1">
        <f t="shared" si="19"/>
        <v>14547.654</v>
      </c>
      <c r="R205" s="1" t="str">
        <f t="shared" si="20"/>
        <v>high</v>
      </c>
      <c r="S205" s="1" t="str" cm="1">
        <f t="array" ref="S205">_xlfn.IFS(L205&gt;5,"high",L205=5,"medium",L205&lt;5,"low")</f>
        <v>high</v>
      </c>
      <c r="T205" s="5" t="str">
        <f t="shared" si="21"/>
        <v>high</v>
      </c>
      <c r="U205" s="1">
        <f t="shared" si="22"/>
        <v>16119.28</v>
      </c>
      <c r="V205" t="str">
        <f t="shared" si="23"/>
        <v>Normal</v>
      </c>
      <c r="W205" t="str" cm="1">
        <f t="array" ref="W205">_xlfn.IFS(O205&gt;=7000,"Excellent",O205&gt;=4000,"Good",O205&lt;4000,"Average")</f>
        <v>Excellent</v>
      </c>
    </row>
    <row r="206" spans="1:23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8"/>
        <v>2031.2280000000001</v>
      </c>
      <c r="Q206" s="1">
        <f t="shared" si="19"/>
        <v>18281.052</v>
      </c>
      <c r="R206" s="1" t="str">
        <f t="shared" si="20"/>
        <v>high</v>
      </c>
      <c r="S206" s="1" t="str" cm="1">
        <f t="array" ref="S206">_xlfn.IFS(L206&gt;5,"high",L206=5,"medium",L206&lt;5,"low")</f>
        <v>high</v>
      </c>
      <c r="T206" s="5" t="str">
        <f t="shared" si="21"/>
        <v>high</v>
      </c>
      <c r="U206" s="1">
        <f t="shared" si="22"/>
        <v>22569.200000000001</v>
      </c>
      <c r="V206" t="str">
        <f t="shared" si="23"/>
        <v>Normal</v>
      </c>
      <c r="W206" t="str" cm="1">
        <f t="array" ref="W206">_xlfn.IFS(O206&gt;=7000,"Excellent",O206&gt;=4000,"Good",O206&lt;4000,"Average")</f>
        <v>Excellent</v>
      </c>
    </row>
    <row r="207" spans="1:23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8"/>
        <v>865.6930000000001</v>
      </c>
      <c r="Q207" s="1">
        <f t="shared" si="19"/>
        <v>16448.167000000001</v>
      </c>
      <c r="R207" s="1" t="str">
        <f t="shared" si="20"/>
        <v>high</v>
      </c>
      <c r="S207" s="1" t="str" cm="1">
        <f t="array" ref="S207">_xlfn.IFS(L207&gt;5,"high",L207=5,"medium",L207&lt;5,"low")</f>
        <v>high</v>
      </c>
      <c r="T207" s="5" t="str">
        <f t="shared" si="21"/>
        <v>high</v>
      </c>
      <c r="U207" s="1">
        <f t="shared" si="22"/>
        <v>18225.12</v>
      </c>
      <c r="V207" t="str">
        <f t="shared" si="23"/>
        <v>Normal</v>
      </c>
      <c r="W207" t="str" cm="1">
        <f t="array" ref="W207">_xlfn.IFS(O207&gt;=7000,"Excellent",O207&gt;=4000,"Good",O207&lt;4000,"Average")</f>
        <v>Excellent</v>
      </c>
    </row>
    <row r="208" spans="1:23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8"/>
        <v>619.01300000000003</v>
      </c>
      <c r="Q208" s="1">
        <f t="shared" si="19"/>
        <v>5571.1170000000002</v>
      </c>
      <c r="R208" s="1" t="str">
        <f t="shared" si="20"/>
        <v>high</v>
      </c>
      <c r="S208" s="1" t="str" cm="1">
        <f t="array" ref="S208">_xlfn.IFS(L208&gt;5,"high",L208=5,"medium",L208&lt;5,"low")</f>
        <v>high</v>
      </c>
      <c r="T208" s="5" t="str">
        <f t="shared" si="21"/>
        <v>high</v>
      </c>
      <c r="U208" s="1">
        <f t="shared" si="22"/>
        <v>6877.92</v>
      </c>
      <c r="V208" t="str">
        <f t="shared" si="23"/>
        <v>Normal</v>
      </c>
      <c r="W208" t="str" cm="1">
        <f t="array" ref="W208">_xlfn.IFS(O208&gt;=7000,"Excellent",O208&gt;=4000,"Good",O208&lt;4000,"Average")</f>
        <v>Good</v>
      </c>
    </row>
    <row r="209" spans="1:23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8"/>
        <v>1219.93</v>
      </c>
      <c r="Q209" s="1">
        <f t="shared" si="19"/>
        <v>4879.7199999999993</v>
      </c>
      <c r="R209" s="1" t="str">
        <f t="shared" si="20"/>
        <v>high</v>
      </c>
      <c r="S209" s="1" t="str" cm="1">
        <f t="array" ref="S209">_xlfn.IFS(L209&gt;5,"high",L209=5,"medium",L209&lt;5,"low")</f>
        <v>high</v>
      </c>
      <c r="T209" s="5" t="str">
        <f t="shared" si="21"/>
        <v>high</v>
      </c>
      <c r="U209" s="1">
        <f t="shared" si="22"/>
        <v>7624.56</v>
      </c>
      <c r="V209" t="str">
        <f t="shared" si="23"/>
        <v>Heavy</v>
      </c>
      <c r="W209" t="str" cm="1">
        <f t="array" ref="W209">_xlfn.IFS(O209&gt;=7000,"Excellent",O209&gt;=4000,"Good",O209&lt;4000,"Average")</f>
        <v>Good</v>
      </c>
    </row>
    <row r="210" spans="1:23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8"/>
        <v>1316.9324999999999</v>
      </c>
      <c r="Q210" s="1">
        <f t="shared" si="19"/>
        <v>7462.6174999999994</v>
      </c>
      <c r="R210" s="1" t="str">
        <f t="shared" si="20"/>
        <v>high</v>
      </c>
      <c r="S210" s="1" t="str" cm="1">
        <f t="array" ref="S210">_xlfn.IFS(L210&gt;5,"high",L210=5,"medium",L210&lt;5,"low")</f>
        <v>high</v>
      </c>
      <c r="T210" s="5" t="str">
        <f t="shared" si="21"/>
        <v>high</v>
      </c>
      <c r="U210" s="1">
        <f t="shared" si="22"/>
        <v>10328.879999999999</v>
      </c>
      <c r="V210" t="str">
        <f t="shared" si="23"/>
        <v>Heavy</v>
      </c>
      <c r="W210" t="str" cm="1">
        <f t="array" ref="W210">_xlfn.IFS(O210&gt;=7000,"Excellent",O210&gt;=4000,"Good",O210&lt;4000,"Average")</f>
        <v>Excellent</v>
      </c>
    </row>
    <row r="211" spans="1:23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8"/>
        <v>3729.7215000000001</v>
      </c>
      <c r="Q211" s="1">
        <f t="shared" si="19"/>
        <v>21135.088500000002</v>
      </c>
      <c r="R211" s="1" t="str">
        <f t="shared" si="20"/>
        <v>high</v>
      </c>
      <c r="S211" s="1" t="str" cm="1">
        <f t="array" ref="S211">_xlfn.IFS(L211&gt;5,"high",L211=5,"medium",L211&lt;5,"low")</f>
        <v>high</v>
      </c>
      <c r="T211" s="5" t="str">
        <f t="shared" si="21"/>
        <v>high</v>
      </c>
      <c r="U211" s="1">
        <f t="shared" si="22"/>
        <v>29252.720000000001</v>
      </c>
      <c r="V211" t="str">
        <f t="shared" si="23"/>
        <v>Heavy</v>
      </c>
      <c r="W211" t="str" cm="1">
        <f t="array" ref="W211">_xlfn.IFS(O211&gt;=7000,"Excellent",O211&gt;=4000,"Good",O211&lt;4000,"Average")</f>
        <v>Excellent</v>
      </c>
    </row>
    <row r="212" spans="1:23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8"/>
        <v>1422.2560000000001</v>
      </c>
      <c r="Q212" s="1">
        <f t="shared" si="19"/>
        <v>12800.304</v>
      </c>
      <c r="R212" s="1" t="str">
        <f t="shared" si="20"/>
        <v>high</v>
      </c>
      <c r="S212" s="1" t="str" cm="1">
        <f t="array" ref="S212">_xlfn.IFS(L212&gt;5,"high",L212=5,"medium",L212&lt;5,"low")</f>
        <v>high</v>
      </c>
      <c r="T212" s="5" t="str">
        <f t="shared" si="21"/>
        <v>high</v>
      </c>
      <c r="U212" s="1">
        <f t="shared" si="22"/>
        <v>15802.850000000002</v>
      </c>
      <c r="V212" t="str">
        <f t="shared" si="23"/>
        <v>Normal</v>
      </c>
      <c r="W212" t="str" cm="1">
        <f t="array" ref="W212">_xlfn.IFS(O212&gt;=7000,"Excellent",O212&gt;=4000,"Good",O212&lt;4000,"Average")</f>
        <v>Excellent</v>
      </c>
    </row>
    <row r="213" spans="1:23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8"/>
        <v>379.38150000000002</v>
      </c>
      <c r="Q213" s="1">
        <f t="shared" si="19"/>
        <v>2149.8285000000001</v>
      </c>
      <c r="R213" s="1" t="str">
        <f t="shared" si="20"/>
        <v>low</v>
      </c>
      <c r="S213" s="1" t="str" cm="1">
        <f t="array" ref="S213">_xlfn.IFS(L213&gt;5,"high",L213=5,"medium",L213&lt;5,"low")</f>
        <v>low</v>
      </c>
      <c r="T213" s="5" t="str">
        <f t="shared" si="21"/>
        <v>low</v>
      </c>
      <c r="U213" s="1">
        <f t="shared" si="22"/>
        <v>2975.54</v>
      </c>
      <c r="V213" t="str">
        <f t="shared" si="23"/>
        <v>Heavy</v>
      </c>
      <c r="W213" t="str" cm="1">
        <f t="array" ref="W213">_xlfn.IFS(O213&gt;=7000,"Excellent",O213&gt;=4000,"Good",O213&lt;4000,"Average")</f>
        <v>Average</v>
      </c>
    </row>
    <row r="214" spans="1:23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8"/>
        <v>949.92000000000007</v>
      </c>
      <c r="Q214" s="1">
        <f t="shared" si="19"/>
        <v>3799.6800000000003</v>
      </c>
      <c r="R214" s="1" t="str">
        <f t="shared" si="20"/>
        <v>low</v>
      </c>
      <c r="S214" s="1" t="str" cm="1">
        <f t="array" ref="S214">_xlfn.IFS(L214&gt;5,"high",L214=5,"medium",L214&lt;5,"low")</f>
        <v>low</v>
      </c>
      <c r="T214" s="5" t="str">
        <f t="shared" si="21"/>
        <v>low</v>
      </c>
      <c r="U214" s="1">
        <f t="shared" si="22"/>
        <v>5937</v>
      </c>
      <c r="V214" t="str">
        <f t="shared" si="23"/>
        <v>Heavy</v>
      </c>
      <c r="W214" t="str" cm="1">
        <f t="array" ref="W214">_xlfn.IFS(O214&gt;=7000,"Excellent",O214&gt;=4000,"Good",O214&lt;4000,"Average")</f>
        <v>Good</v>
      </c>
    </row>
    <row r="215" spans="1:23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8"/>
        <v>877.05150000000003</v>
      </c>
      <c r="Q215" s="1">
        <f t="shared" si="19"/>
        <v>4969.9585000000006</v>
      </c>
      <c r="R215" s="1" t="str">
        <f t="shared" si="20"/>
        <v>low</v>
      </c>
      <c r="S215" s="1" t="str" cm="1">
        <f t="array" ref="S215">_xlfn.IFS(L215&gt;5,"high",L215=5,"medium",L215&lt;5,"low")</f>
        <v>low</v>
      </c>
      <c r="T215" s="5" t="str">
        <f t="shared" si="21"/>
        <v>low</v>
      </c>
      <c r="U215" s="1">
        <f t="shared" si="22"/>
        <v>6878.84</v>
      </c>
      <c r="V215" t="str">
        <f t="shared" si="23"/>
        <v>Heavy</v>
      </c>
      <c r="W215" t="str" cm="1">
        <f t="array" ref="W215">_xlfn.IFS(O215&gt;=7000,"Excellent",O215&gt;=4000,"Good",O215&lt;4000,"Average")</f>
        <v>Good</v>
      </c>
    </row>
    <row r="216" spans="1:23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8"/>
        <v>506.74399999999997</v>
      </c>
      <c r="Q216" s="1">
        <f t="shared" si="19"/>
        <v>2026.9759999999999</v>
      </c>
      <c r="R216" s="1" t="str">
        <f t="shared" si="20"/>
        <v>high</v>
      </c>
      <c r="S216" s="1" t="str" cm="1">
        <f t="array" ref="S216">_xlfn.IFS(L216&gt;5,"high",L216=5,"medium",L216&lt;5,"low")</f>
        <v>medium</v>
      </c>
      <c r="T216" s="5" t="str">
        <f t="shared" si="21"/>
        <v>medium</v>
      </c>
      <c r="U216" s="1">
        <f t="shared" si="22"/>
        <v>3167.1499999999996</v>
      </c>
      <c r="V216" t="str">
        <f t="shared" si="23"/>
        <v>Heavy</v>
      </c>
      <c r="W216" t="str" cm="1">
        <f t="array" ref="W216">_xlfn.IFS(O216&gt;=7000,"Excellent",O216&gt;=4000,"Good",O216&lt;4000,"Average")</f>
        <v>Average</v>
      </c>
    </row>
    <row r="217" spans="1:23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8"/>
        <v>230.70450000000002</v>
      </c>
      <c r="Q217" s="1">
        <f t="shared" si="19"/>
        <v>4383.3855000000003</v>
      </c>
      <c r="R217" s="1" t="str">
        <f t="shared" si="20"/>
        <v>high</v>
      </c>
      <c r="S217" s="1" t="str" cm="1">
        <f t="array" ref="S217">_xlfn.IFS(L217&gt;5,"high",L217=5,"medium",L217&lt;5,"low")</f>
        <v>high</v>
      </c>
      <c r="T217" s="5" t="str">
        <f t="shared" si="21"/>
        <v>high</v>
      </c>
      <c r="U217" s="1">
        <f t="shared" si="22"/>
        <v>4856.9400000000005</v>
      </c>
      <c r="V217" t="str">
        <f t="shared" si="23"/>
        <v>Normal</v>
      </c>
      <c r="W217" t="str" cm="1">
        <f t="array" ref="W217">_xlfn.IFS(O217&gt;=7000,"Excellent",O217&gt;=4000,"Good",O217&lt;4000,"Average")</f>
        <v>Good</v>
      </c>
    </row>
    <row r="218" spans="1:23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8"/>
        <v>2134.6040000000003</v>
      </c>
      <c r="Q218" s="1">
        <f t="shared" si="19"/>
        <v>8538.4160000000011</v>
      </c>
      <c r="R218" s="1" t="str">
        <f t="shared" si="20"/>
        <v>low</v>
      </c>
      <c r="S218" s="1" t="str" cm="1">
        <f t="array" ref="S218">_xlfn.IFS(L218&gt;5,"high",L218=5,"medium",L218&lt;5,"low")</f>
        <v>low</v>
      </c>
      <c r="T218" s="5" t="str">
        <f t="shared" si="21"/>
        <v>low</v>
      </c>
      <c r="U218" s="1">
        <f t="shared" si="22"/>
        <v>13341.28</v>
      </c>
      <c r="V218" t="str">
        <f t="shared" si="23"/>
        <v>Heavy</v>
      </c>
      <c r="W218" t="str" cm="1">
        <f t="array" ref="W218">_xlfn.IFS(O218&gt;=7000,"Excellent",O218&gt;=4000,"Good",O218&lt;4000,"Average")</f>
        <v>Excellent</v>
      </c>
    </row>
    <row r="219" spans="1:23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8"/>
        <v>0</v>
      </c>
      <c r="Q219" s="1">
        <f t="shared" si="19"/>
        <v>4803.26</v>
      </c>
      <c r="R219" s="1" t="str">
        <f t="shared" si="20"/>
        <v>low</v>
      </c>
      <c r="S219" s="1" t="str" cm="1">
        <f t="array" ref="S219">_xlfn.IFS(L219&gt;5,"high",L219=5,"medium",L219&lt;5,"low")</f>
        <v>low</v>
      </c>
      <c r="T219" s="5" t="str">
        <f t="shared" si="21"/>
        <v>low</v>
      </c>
      <c r="U219" s="1">
        <f t="shared" si="22"/>
        <v>4803.26</v>
      </c>
      <c r="V219" t="str">
        <f t="shared" si="23"/>
        <v>Normal</v>
      </c>
      <c r="W219" t="str" cm="1">
        <f t="array" ref="W219">_xlfn.IFS(O219&gt;=7000,"Excellent",O219&gt;=4000,"Good",O219&lt;4000,"Average")</f>
        <v>Good</v>
      </c>
    </row>
    <row r="220" spans="1:23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8"/>
        <v>0</v>
      </c>
      <c r="Q220" s="1">
        <f t="shared" si="19"/>
        <v>8697</v>
      </c>
      <c r="R220" s="1" t="str">
        <f t="shared" si="20"/>
        <v>high</v>
      </c>
      <c r="S220" s="1" t="str" cm="1">
        <f t="array" ref="S220">_xlfn.IFS(L220&gt;5,"high",L220=5,"medium",L220&lt;5,"low")</f>
        <v>high</v>
      </c>
      <c r="T220" s="5" t="str">
        <f t="shared" si="21"/>
        <v>high</v>
      </c>
      <c r="U220" s="1">
        <f t="shared" si="22"/>
        <v>8697</v>
      </c>
      <c r="V220" t="str">
        <f t="shared" si="23"/>
        <v>Normal</v>
      </c>
      <c r="W220" t="str" cm="1">
        <f t="array" ref="W220">_xlfn.IFS(O220&gt;=7000,"Excellent",O220&gt;=4000,"Good",O220&lt;4000,"Average")</f>
        <v>Excellent</v>
      </c>
    </row>
    <row r="221" spans="1:23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8"/>
        <v>0</v>
      </c>
      <c r="Q221" s="1">
        <f t="shared" si="19"/>
        <v>25927.84</v>
      </c>
      <c r="R221" s="1" t="str">
        <f t="shared" si="20"/>
        <v>high</v>
      </c>
      <c r="S221" s="1" t="str" cm="1">
        <f t="array" ref="S221">_xlfn.IFS(L221&gt;5,"high",L221=5,"medium",L221&lt;5,"low")</f>
        <v>high</v>
      </c>
      <c r="T221" s="5" t="str">
        <f t="shared" si="21"/>
        <v>high</v>
      </c>
      <c r="U221" s="1">
        <f t="shared" si="22"/>
        <v>25927.84</v>
      </c>
      <c r="V221" t="str">
        <f t="shared" si="23"/>
        <v>Normal</v>
      </c>
      <c r="W221" t="str" cm="1">
        <f t="array" ref="W221">_xlfn.IFS(O221&gt;=7000,"Excellent",O221&gt;=4000,"Good",O221&lt;4000,"Average")</f>
        <v>Excellent</v>
      </c>
    </row>
    <row r="222" spans="1:23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8"/>
        <v>791.35200000000009</v>
      </c>
      <c r="Q222" s="1">
        <f t="shared" si="19"/>
        <v>7122.1680000000006</v>
      </c>
      <c r="R222" s="1" t="str">
        <f t="shared" si="20"/>
        <v>high</v>
      </c>
      <c r="S222" s="1" t="str" cm="1">
        <f t="array" ref="S222">_xlfn.IFS(L222&gt;5,"high",L222=5,"medium",L222&lt;5,"low")</f>
        <v>high</v>
      </c>
      <c r="T222" s="5" t="str">
        <f t="shared" si="21"/>
        <v>high</v>
      </c>
      <c r="U222" s="1">
        <f t="shared" si="22"/>
        <v>8792.7999999999993</v>
      </c>
      <c r="V222" t="str">
        <f t="shared" si="23"/>
        <v>Normal</v>
      </c>
      <c r="W222" t="str" cm="1">
        <f t="array" ref="W222">_xlfn.IFS(O222&gt;=7000,"Excellent",O222&gt;=4000,"Good",O222&lt;4000,"Average")</f>
        <v>Excellent</v>
      </c>
    </row>
    <row r="223" spans="1:23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8"/>
        <v>2461.8700000000003</v>
      </c>
      <c r="Q223" s="1">
        <f t="shared" si="19"/>
        <v>22156.83</v>
      </c>
      <c r="R223" s="1" t="str">
        <f t="shared" si="20"/>
        <v>high</v>
      </c>
      <c r="S223" s="1" t="str" cm="1">
        <f t="array" ref="S223">_xlfn.IFS(L223&gt;5,"high",L223=5,"medium",L223&lt;5,"low")</f>
        <v>high</v>
      </c>
      <c r="T223" s="5" t="str">
        <f t="shared" si="21"/>
        <v>high</v>
      </c>
      <c r="U223" s="1">
        <f t="shared" si="22"/>
        <v>27354.11</v>
      </c>
      <c r="V223" t="str">
        <f t="shared" si="23"/>
        <v>Normal</v>
      </c>
      <c r="W223" t="str" cm="1">
        <f t="array" ref="W223">_xlfn.IFS(O223&gt;=7000,"Excellent",O223&gt;=4000,"Good",O223&lt;4000,"Average")</f>
        <v>Excellent</v>
      </c>
    </row>
    <row r="224" spans="1:23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8"/>
        <v>797.87700000000007</v>
      </c>
      <c r="Q224" s="1">
        <f t="shared" si="19"/>
        <v>7180.893</v>
      </c>
      <c r="R224" s="1" t="str">
        <f t="shared" si="20"/>
        <v>high</v>
      </c>
      <c r="S224" s="1" t="str" cm="1">
        <f t="array" ref="S224">_xlfn.IFS(L224&gt;5,"high",L224=5,"medium",L224&lt;5,"low")</f>
        <v>high</v>
      </c>
      <c r="T224" s="5" t="str">
        <f t="shared" si="21"/>
        <v>high</v>
      </c>
      <c r="U224" s="1">
        <f t="shared" si="22"/>
        <v>8865.2999999999993</v>
      </c>
      <c r="V224" t="str">
        <f t="shared" si="23"/>
        <v>Normal</v>
      </c>
      <c r="W224" t="str" cm="1">
        <f t="array" ref="W224">_xlfn.IFS(O224&gt;=7000,"Excellent",O224&gt;=4000,"Good",O224&lt;4000,"Average")</f>
        <v>Excellent</v>
      </c>
    </row>
    <row r="225" spans="1:23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8"/>
        <v>463.56800000000004</v>
      </c>
      <c r="Q225" s="1">
        <f t="shared" si="19"/>
        <v>1854.2720000000002</v>
      </c>
      <c r="R225" s="1" t="str">
        <f t="shared" si="20"/>
        <v>low</v>
      </c>
      <c r="S225" s="1" t="str" cm="1">
        <f t="array" ref="S225">_xlfn.IFS(L225&gt;5,"high",L225=5,"medium",L225&lt;5,"low")</f>
        <v>low</v>
      </c>
      <c r="T225" s="5" t="str">
        <f t="shared" si="21"/>
        <v>low</v>
      </c>
      <c r="U225" s="1">
        <f t="shared" si="22"/>
        <v>2897.3</v>
      </c>
      <c r="V225" t="str">
        <f t="shared" si="23"/>
        <v>Heavy</v>
      </c>
      <c r="W225" t="str" cm="1">
        <f t="array" ref="W225">_xlfn.IFS(O225&gt;=7000,"Excellent",O225&gt;=4000,"Good",O225&lt;4000,"Average")</f>
        <v>Average</v>
      </c>
    </row>
    <row r="226" spans="1:23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8"/>
        <v>851.04200000000003</v>
      </c>
      <c r="Q226" s="1">
        <f t="shared" si="19"/>
        <v>7659.3779999999997</v>
      </c>
      <c r="R226" s="1" t="str">
        <f t="shared" si="20"/>
        <v>high</v>
      </c>
      <c r="S226" s="1" t="str" cm="1">
        <f t="array" ref="S226">_xlfn.IFS(L226&gt;5,"high",L226=5,"medium",L226&lt;5,"low")</f>
        <v>high</v>
      </c>
      <c r="T226" s="5" t="str">
        <f t="shared" si="21"/>
        <v>high</v>
      </c>
      <c r="U226" s="1">
        <f t="shared" si="22"/>
        <v>9456.0199999999986</v>
      </c>
      <c r="V226" t="str">
        <f t="shared" si="23"/>
        <v>Normal</v>
      </c>
      <c r="W226" t="str" cm="1">
        <f t="array" ref="W226">_xlfn.IFS(O226&gt;=7000,"Excellent",O226&gt;=4000,"Good",O226&lt;4000,"Average")</f>
        <v>Excellent</v>
      </c>
    </row>
    <row r="227" spans="1:23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8"/>
        <v>147.28100000000001</v>
      </c>
      <c r="Q227" s="1">
        <f t="shared" si="19"/>
        <v>2798.3389999999999</v>
      </c>
      <c r="R227" s="1" t="str">
        <f t="shared" si="20"/>
        <v>high</v>
      </c>
      <c r="S227" s="1" t="str" cm="1">
        <f t="array" ref="S227">_xlfn.IFS(L227&gt;5,"high",L227=5,"medium",L227&lt;5,"low")</f>
        <v>medium</v>
      </c>
      <c r="T227" s="5" t="str">
        <f t="shared" si="21"/>
        <v>medium</v>
      </c>
      <c r="U227" s="1">
        <f t="shared" si="22"/>
        <v>3100.65</v>
      </c>
      <c r="V227" t="str">
        <f t="shared" si="23"/>
        <v>Normal</v>
      </c>
      <c r="W227" t="str" cm="1">
        <f t="array" ref="W227">_xlfn.IFS(O227&gt;=7000,"Excellent",O227&gt;=4000,"Good",O227&lt;4000,"Average")</f>
        <v>Average</v>
      </c>
    </row>
    <row r="228" spans="1:23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8"/>
        <v>0</v>
      </c>
      <c r="Q228" s="1">
        <f t="shared" si="19"/>
        <v>3467.28</v>
      </c>
      <c r="R228" s="1" t="str">
        <f t="shared" si="20"/>
        <v>high</v>
      </c>
      <c r="S228" s="1" t="str" cm="1">
        <f t="array" ref="S228">_xlfn.IFS(L228&gt;5,"high",L228=5,"medium",L228&lt;5,"low")</f>
        <v>high</v>
      </c>
      <c r="T228" s="5" t="str">
        <f t="shared" si="21"/>
        <v>high</v>
      </c>
      <c r="U228" s="1">
        <f t="shared" si="22"/>
        <v>3467.2799999999997</v>
      </c>
      <c r="V228" t="str">
        <f t="shared" si="23"/>
        <v>Normal</v>
      </c>
      <c r="W228" t="str" cm="1">
        <f t="array" ref="W228">_xlfn.IFS(O228&gt;=7000,"Excellent",O228&gt;=4000,"Good",O228&lt;4000,"Average")</f>
        <v>Average</v>
      </c>
    </row>
    <row r="229" spans="1:23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8"/>
        <v>3385.8559999999998</v>
      </c>
      <c r="Q229" s="1">
        <f t="shared" si="19"/>
        <v>13543.423999999999</v>
      </c>
      <c r="R229" s="1" t="str">
        <f t="shared" si="20"/>
        <v>high</v>
      </c>
      <c r="S229" s="1" t="str" cm="1">
        <f t="array" ref="S229">_xlfn.IFS(L229&gt;5,"high",L229=5,"medium",L229&lt;5,"low")</f>
        <v>high</v>
      </c>
      <c r="T229" s="5" t="str">
        <f t="shared" si="21"/>
        <v>high</v>
      </c>
      <c r="U229" s="1">
        <f t="shared" si="22"/>
        <v>21161.599999999999</v>
      </c>
      <c r="V229" t="str">
        <f t="shared" si="23"/>
        <v>Heavy</v>
      </c>
      <c r="W229" t="str" cm="1">
        <f t="array" ref="W229">_xlfn.IFS(O229&gt;=7000,"Excellent",O229&gt;=4000,"Good",O229&lt;4000,"Average")</f>
        <v>Excellent</v>
      </c>
    </row>
    <row r="230" spans="1:23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8"/>
        <v>0</v>
      </c>
      <c r="Q230" s="1">
        <f t="shared" si="19"/>
        <v>28153.599999999999</v>
      </c>
      <c r="R230" s="1" t="str">
        <f t="shared" si="20"/>
        <v>high</v>
      </c>
      <c r="S230" s="1" t="str" cm="1">
        <f t="array" ref="S230">_xlfn.IFS(L230&gt;5,"high",L230=5,"medium",L230&lt;5,"low")</f>
        <v>high</v>
      </c>
      <c r="T230" s="5" t="str">
        <f t="shared" si="21"/>
        <v>high</v>
      </c>
      <c r="U230" s="1">
        <f t="shared" si="22"/>
        <v>28153.599999999999</v>
      </c>
      <c r="V230" t="str">
        <f t="shared" si="23"/>
        <v>Normal</v>
      </c>
      <c r="W230" t="str" cm="1">
        <f t="array" ref="W230">_xlfn.IFS(O230&gt;=7000,"Excellent",O230&gt;=4000,"Good",O230&lt;4000,"Average")</f>
        <v>Excellent</v>
      </c>
    </row>
    <row r="231" spans="1:23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8"/>
        <v>862.24500000000012</v>
      </c>
      <c r="Q231" s="1">
        <f t="shared" si="19"/>
        <v>7760.2050000000008</v>
      </c>
      <c r="R231" s="1" t="str">
        <f t="shared" si="20"/>
        <v>low</v>
      </c>
      <c r="S231" s="1" t="str" cm="1">
        <f t="array" ref="S231">_xlfn.IFS(L231&gt;5,"high",L231=5,"medium",L231&lt;5,"low")</f>
        <v>low</v>
      </c>
      <c r="T231" s="5" t="str">
        <f t="shared" si="21"/>
        <v>low</v>
      </c>
      <c r="U231" s="1">
        <f t="shared" si="22"/>
        <v>9580.5</v>
      </c>
      <c r="V231" t="str">
        <f t="shared" si="23"/>
        <v>Normal</v>
      </c>
      <c r="W231" t="str" cm="1">
        <f t="array" ref="W231">_xlfn.IFS(O231&gt;=7000,"Excellent",O231&gt;=4000,"Good",O231&lt;4000,"Average")</f>
        <v>Excellent</v>
      </c>
    </row>
    <row r="232" spans="1:23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8"/>
        <v>776.45200000000011</v>
      </c>
      <c r="Q232" s="1">
        <f t="shared" si="19"/>
        <v>3105.808</v>
      </c>
      <c r="R232" s="1" t="str">
        <f t="shared" si="20"/>
        <v>high</v>
      </c>
      <c r="S232" s="1" t="str" cm="1">
        <f t="array" ref="S232">_xlfn.IFS(L232&gt;5,"high",L232=5,"medium",L232&lt;5,"low")</f>
        <v>high</v>
      </c>
      <c r="T232" s="5" t="str">
        <f t="shared" si="21"/>
        <v>high</v>
      </c>
      <c r="U232" s="1">
        <f t="shared" si="22"/>
        <v>4852.82</v>
      </c>
      <c r="V232" t="str">
        <f t="shared" si="23"/>
        <v>Heavy</v>
      </c>
      <c r="W232" t="str" cm="1">
        <f t="array" ref="W232">_xlfn.IFS(O232&gt;=7000,"Excellent",O232&gt;=4000,"Good",O232&lt;4000,"Average")</f>
        <v>Average</v>
      </c>
    </row>
    <row r="233" spans="1:23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8"/>
        <v>286.93799999999999</v>
      </c>
      <c r="Q233" s="1">
        <f t="shared" si="19"/>
        <v>1625.982</v>
      </c>
      <c r="R233" s="1" t="str">
        <f t="shared" si="20"/>
        <v>low</v>
      </c>
      <c r="S233" s="1" t="str" cm="1">
        <f t="array" ref="S233">_xlfn.IFS(L233&gt;5,"high",L233=5,"medium",L233&lt;5,"low")</f>
        <v>low</v>
      </c>
      <c r="T233" s="5" t="str">
        <f t="shared" si="21"/>
        <v>low</v>
      </c>
      <c r="U233" s="1">
        <f t="shared" si="22"/>
        <v>2250.4899999999998</v>
      </c>
      <c r="V233" t="str">
        <f t="shared" si="23"/>
        <v>Heavy</v>
      </c>
      <c r="W233" t="str" cm="1">
        <f t="array" ref="W233">_xlfn.IFS(O233&gt;=7000,"Excellent",O233&gt;=4000,"Good",O233&lt;4000,"Average")</f>
        <v>Average</v>
      </c>
    </row>
    <row r="234" spans="1:23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8"/>
        <v>26.435000000000002</v>
      </c>
      <c r="Q234" s="1">
        <f t="shared" si="19"/>
        <v>502.26500000000004</v>
      </c>
      <c r="R234" s="1" t="str">
        <f t="shared" si="20"/>
        <v>low</v>
      </c>
      <c r="S234" s="1" t="str" cm="1">
        <f t="array" ref="S234">_xlfn.IFS(L234&gt;5,"high",L234=5,"medium",L234&lt;5,"low")</f>
        <v>low</v>
      </c>
      <c r="T234" s="5" t="str">
        <f t="shared" si="21"/>
        <v>low</v>
      </c>
      <c r="U234" s="1">
        <f t="shared" si="22"/>
        <v>556.53</v>
      </c>
      <c r="V234" t="str">
        <f t="shared" si="23"/>
        <v>Normal</v>
      </c>
      <c r="W234" t="str" cm="1">
        <f t="array" ref="W234">_xlfn.IFS(O234&gt;=7000,"Excellent",O234&gt;=4000,"Good",O234&lt;4000,"Average")</f>
        <v>Average</v>
      </c>
    </row>
    <row r="235" spans="1:23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8"/>
        <v>204.35900000000001</v>
      </c>
      <c r="Q235" s="1">
        <f t="shared" si="19"/>
        <v>1839.231</v>
      </c>
      <c r="R235" s="1" t="str">
        <f t="shared" si="20"/>
        <v>high</v>
      </c>
      <c r="S235" s="1" t="str" cm="1">
        <f t="array" ref="S235">_xlfn.IFS(L235&gt;5,"high",L235=5,"medium",L235&lt;5,"low")</f>
        <v>high</v>
      </c>
      <c r="T235" s="5" t="str">
        <f t="shared" si="21"/>
        <v>high</v>
      </c>
      <c r="U235" s="1">
        <f t="shared" si="22"/>
        <v>2270.66</v>
      </c>
      <c r="V235" t="str">
        <f t="shared" si="23"/>
        <v>Normal</v>
      </c>
      <c r="W235" t="str" cm="1">
        <f t="array" ref="W235">_xlfn.IFS(O235&gt;=7000,"Excellent",O235&gt;=4000,"Good",O235&lt;4000,"Average")</f>
        <v>Average</v>
      </c>
    </row>
    <row r="236" spans="1:23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8"/>
        <v>2168.4430000000002</v>
      </c>
      <c r="Q236" s="1">
        <f t="shared" si="19"/>
        <v>19515.987000000001</v>
      </c>
      <c r="R236" s="1" t="str">
        <f t="shared" si="20"/>
        <v>high</v>
      </c>
      <c r="S236" s="1" t="str" cm="1">
        <f t="array" ref="S236">_xlfn.IFS(L236&gt;5,"high",L236=5,"medium",L236&lt;5,"low")</f>
        <v>high</v>
      </c>
      <c r="T236" s="5" t="str">
        <f t="shared" si="21"/>
        <v>high</v>
      </c>
      <c r="U236" s="1">
        <f t="shared" si="22"/>
        <v>24093.81</v>
      </c>
      <c r="V236" t="str">
        <f t="shared" si="23"/>
        <v>Normal</v>
      </c>
      <c r="W236" t="str" cm="1">
        <f t="array" ref="W236">_xlfn.IFS(O236&gt;=7000,"Excellent",O236&gt;=4000,"Good",O236&lt;4000,"Average")</f>
        <v>Excellent</v>
      </c>
    </row>
    <row r="237" spans="1:23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8"/>
        <v>734.9380000000001</v>
      </c>
      <c r="Q237" s="1">
        <f t="shared" si="19"/>
        <v>13963.822</v>
      </c>
      <c r="R237" s="1" t="str">
        <f t="shared" si="20"/>
        <v>high</v>
      </c>
      <c r="S237" s="1" t="str" cm="1">
        <f t="array" ref="S237">_xlfn.IFS(L237&gt;5,"high",L237=5,"medium",L237&lt;5,"low")</f>
        <v>high</v>
      </c>
      <c r="T237" s="5" t="str">
        <f t="shared" si="21"/>
        <v>high</v>
      </c>
      <c r="U237" s="1">
        <f t="shared" si="22"/>
        <v>15472.380000000001</v>
      </c>
      <c r="V237" t="str">
        <f t="shared" si="23"/>
        <v>Normal</v>
      </c>
      <c r="W237" t="str" cm="1">
        <f t="array" ref="W237">_xlfn.IFS(O237&gt;=7000,"Excellent",O237&gt;=4000,"Good",O237&lt;4000,"Average")</f>
        <v>Excellent</v>
      </c>
    </row>
    <row r="238" spans="1:23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8"/>
        <v>110.625</v>
      </c>
      <c r="Q238" s="1">
        <f t="shared" si="19"/>
        <v>2101.875</v>
      </c>
      <c r="R238" s="1" t="str">
        <f t="shared" si="20"/>
        <v>high</v>
      </c>
      <c r="S238" s="1" t="str" cm="1">
        <f t="array" ref="S238">_xlfn.IFS(L238&gt;5,"high",L238=5,"medium",L238&lt;5,"low")</f>
        <v>medium</v>
      </c>
      <c r="T238" s="5" t="str">
        <f t="shared" si="21"/>
        <v>medium</v>
      </c>
      <c r="U238" s="1">
        <f t="shared" si="22"/>
        <v>2328.9500000000003</v>
      </c>
      <c r="V238" t="str">
        <f t="shared" si="23"/>
        <v>Normal</v>
      </c>
      <c r="W238" t="str" cm="1">
        <f t="array" ref="W238">_xlfn.IFS(O238&gt;=7000,"Excellent",O238&gt;=4000,"Good",O238&lt;4000,"Average")</f>
        <v>Average</v>
      </c>
    </row>
    <row r="239" spans="1:23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8"/>
        <v>290.21100000000001</v>
      </c>
      <c r="Q239" s="1">
        <f t="shared" si="19"/>
        <v>1644.529</v>
      </c>
      <c r="R239" s="1" t="str">
        <f t="shared" si="20"/>
        <v>high</v>
      </c>
      <c r="S239" s="1" t="str" cm="1">
        <f t="array" ref="S239">_xlfn.IFS(L239&gt;5,"high",L239=5,"medium",L239&lt;5,"low")</f>
        <v>high</v>
      </c>
      <c r="T239" s="5" t="str">
        <f t="shared" si="21"/>
        <v>high</v>
      </c>
      <c r="U239" s="1">
        <f t="shared" si="22"/>
        <v>2276.16</v>
      </c>
      <c r="V239" t="str">
        <f t="shared" si="23"/>
        <v>Heavy</v>
      </c>
      <c r="W239" t="str" cm="1">
        <f t="array" ref="W239">_xlfn.IFS(O239&gt;=7000,"Excellent",O239&gt;=4000,"Good",O239&lt;4000,"Average")</f>
        <v>Average</v>
      </c>
    </row>
    <row r="240" spans="1:23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8"/>
        <v>712.90100000000007</v>
      </c>
      <c r="Q240" s="1">
        <f t="shared" si="19"/>
        <v>6416.1090000000004</v>
      </c>
      <c r="R240" s="1" t="str">
        <f t="shared" si="20"/>
        <v>low</v>
      </c>
      <c r="S240" s="1" t="str" cm="1">
        <f t="array" ref="S240">_xlfn.IFS(L240&gt;5,"high",L240=5,"medium",L240&lt;5,"low")</f>
        <v>low</v>
      </c>
      <c r="T240" s="5" t="str">
        <f t="shared" si="21"/>
        <v>low</v>
      </c>
      <c r="U240" s="1">
        <f t="shared" si="22"/>
        <v>7921.12</v>
      </c>
      <c r="V240" t="str">
        <f t="shared" si="23"/>
        <v>Normal</v>
      </c>
      <c r="W240" t="str" cm="1">
        <f t="array" ref="W240">_xlfn.IFS(O240&gt;=7000,"Excellent",O240&gt;=4000,"Good",O240&lt;4000,"Average")</f>
        <v>Excellent</v>
      </c>
    </row>
    <row r="241" spans="1:23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8"/>
        <v>215.12</v>
      </c>
      <c r="Q241" s="1">
        <f t="shared" si="19"/>
        <v>1936.08</v>
      </c>
      <c r="R241" s="1" t="str">
        <f t="shared" si="20"/>
        <v>high</v>
      </c>
      <c r="S241" s="1" t="str" cm="1">
        <f t="array" ref="S241">_xlfn.IFS(L241&gt;5,"high",L241=5,"medium",L241&lt;5,"low")</f>
        <v>high</v>
      </c>
      <c r="T241" s="5" t="str">
        <f t="shared" si="21"/>
        <v>high</v>
      </c>
      <c r="U241" s="1">
        <f t="shared" si="22"/>
        <v>2390.2199999999998</v>
      </c>
      <c r="V241" t="str">
        <f t="shared" si="23"/>
        <v>Normal</v>
      </c>
      <c r="W241" t="str" cm="1">
        <f t="array" ref="W241">_xlfn.IFS(O241&gt;=7000,"Excellent",O241&gt;=4000,"Good",O241&lt;4000,"Average")</f>
        <v>Average</v>
      </c>
    </row>
    <row r="242" spans="1:23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8"/>
        <v>0</v>
      </c>
      <c r="Q242" s="1">
        <f t="shared" si="19"/>
        <v>11168.58</v>
      </c>
      <c r="R242" s="1" t="str">
        <f t="shared" si="20"/>
        <v>high</v>
      </c>
      <c r="S242" s="1" t="str" cm="1">
        <f t="array" ref="S242">_xlfn.IFS(L242&gt;5,"high",L242=5,"medium",L242&lt;5,"low")</f>
        <v>high</v>
      </c>
      <c r="T242" s="5" t="str">
        <f t="shared" si="21"/>
        <v>high</v>
      </c>
      <c r="U242" s="1">
        <f t="shared" si="22"/>
        <v>11168.58</v>
      </c>
      <c r="V242" t="str">
        <f t="shared" si="23"/>
        <v>Normal</v>
      </c>
      <c r="W242" t="str" cm="1">
        <f t="array" ref="W242">_xlfn.IFS(O242&gt;=7000,"Excellent",O242&gt;=4000,"Good",O242&lt;4000,"Average")</f>
        <v>Excellent</v>
      </c>
    </row>
    <row r="243" spans="1:23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8"/>
        <v>3013.6040000000003</v>
      </c>
      <c r="Q243" s="1">
        <f t="shared" si="19"/>
        <v>12054.416000000001</v>
      </c>
      <c r="R243" s="1" t="str">
        <f t="shared" si="20"/>
        <v>high</v>
      </c>
      <c r="S243" s="1" t="str" cm="1">
        <f t="array" ref="S243">_xlfn.IFS(L243&gt;5,"high",L243=5,"medium",L243&lt;5,"low")</f>
        <v>high</v>
      </c>
      <c r="T243" s="5" t="str">
        <f t="shared" si="21"/>
        <v>high</v>
      </c>
      <c r="U243" s="1">
        <f t="shared" si="22"/>
        <v>18835.02</v>
      </c>
      <c r="V243" t="str">
        <f t="shared" si="23"/>
        <v>Heavy</v>
      </c>
      <c r="W243" t="str" cm="1">
        <f t="array" ref="W243">_xlfn.IFS(O243&gt;=7000,"Excellent",O243&gt;=4000,"Good",O243&lt;4000,"Average")</f>
        <v>Excellent</v>
      </c>
    </row>
    <row r="244" spans="1:23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8"/>
        <v>192.49</v>
      </c>
      <c r="Q244" s="1">
        <f t="shared" si="19"/>
        <v>769.96</v>
      </c>
      <c r="R244" s="1" t="str">
        <f t="shared" si="20"/>
        <v>low</v>
      </c>
      <c r="S244" s="1" t="str" cm="1">
        <f t="array" ref="S244">_xlfn.IFS(L244&gt;5,"high",L244=5,"medium",L244&lt;5,"low")</f>
        <v>low</v>
      </c>
      <c r="T244" s="5" t="str">
        <f t="shared" si="21"/>
        <v>low</v>
      </c>
      <c r="U244" s="1">
        <f t="shared" si="22"/>
        <v>1203.06</v>
      </c>
      <c r="V244" t="str">
        <f t="shared" si="23"/>
        <v>Heavy</v>
      </c>
      <c r="W244" t="str" cm="1">
        <f t="array" ref="W244">_xlfn.IFS(O244&gt;=7000,"Excellent",O244&gt;=4000,"Good",O244&lt;4000,"Average")</f>
        <v>Average</v>
      </c>
    </row>
    <row r="245" spans="1:23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8"/>
        <v>0</v>
      </c>
      <c r="Q245" s="1">
        <f t="shared" si="19"/>
        <v>2402.67</v>
      </c>
      <c r="R245" s="1" t="str">
        <f t="shared" si="20"/>
        <v>low</v>
      </c>
      <c r="S245" s="1" t="str" cm="1">
        <f t="array" ref="S245">_xlfn.IFS(L245&gt;5,"high",L245=5,"medium",L245&lt;5,"low")</f>
        <v>low</v>
      </c>
      <c r="T245" s="5" t="str">
        <f t="shared" si="21"/>
        <v>low</v>
      </c>
      <c r="U245" s="1">
        <f t="shared" si="22"/>
        <v>2402.67</v>
      </c>
      <c r="V245" t="str">
        <f t="shared" si="23"/>
        <v>Normal</v>
      </c>
      <c r="W245" t="str" cm="1">
        <f t="array" ref="W245">_xlfn.IFS(O245&gt;=7000,"Excellent",O245&gt;=4000,"Good",O245&lt;4000,"Average")</f>
        <v>Average</v>
      </c>
    </row>
    <row r="246" spans="1:23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8"/>
        <v>1925.6959999999999</v>
      </c>
      <c r="Q246" s="1">
        <f t="shared" si="19"/>
        <v>7702.7839999999997</v>
      </c>
      <c r="R246" s="1" t="str">
        <f t="shared" si="20"/>
        <v>high</v>
      </c>
      <c r="S246" s="1" t="str" cm="1">
        <f t="array" ref="S246">_xlfn.IFS(L246&gt;5,"high",L246=5,"medium",L246&lt;5,"low")</f>
        <v>high</v>
      </c>
      <c r="T246" s="5" t="str">
        <f t="shared" si="21"/>
        <v>high</v>
      </c>
      <c r="U246" s="1">
        <f t="shared" si="22"/>
        <v>12035.6</v>
      </c>
      <c r="V246" t="str">
        <f t="shared" si="23"/>
        <v>Heavy</v>
      </c>
      <c r="W246" t="str" cm="1">
        <f t="array" ref="W246">_xlfn.IFS(O246&gt;=7000,"Excellent",O246&gt;=4000,"Good",O246&lt;4000,"Average")</f>
        <v>Excellent</v>
      </c>
    </row>
    <row r="247" spans="1:23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8"/>
        <v>146.41650000000001</v>
      </c>
      <c r="Q247" s="1">
        <f t="shared" si="19"/>
        <v>2781.9135000000001</v>
      </c>
      <c r="R247" s="1" t="str">
        <f t="shared" si="20"/>
        <v>low</v>
      </c>
      <c r="S247" s="1" t="str" cm="1">
        <f t="array" ref="S247">_xlfn.IFS(L247&gt;5,"high",L247=5,"medium",L247&lt;5,"low")</f>
        <v>low</v>
      </c>
      <c r="T247" s="5" t="str">
        <f t="shared" si="21"/>
        <v>low</v>
      </c>
      <c r="U247" s="1">
        <f t="shared" si="22"/>
        <v>3082.45</v>
      </c>
      <c r="V247" t="str">
        <f t="shared" si="23"/>
        <v>Normal</v>
      </c>
      <c r="W247" t="str" cm="1">
        <f t="array" ref="W247">_xlfn.IFS(O247&gt;=7000,"Excellent",O247&gt;=4000,"Good",O247&lt;4000,"Average")</f>
        <v>Average</v>
      </c>
    </row>
    <row r="248" spans="1:23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8"/>
        <v>2354.5419999999999</v>
      </c>
      <c r="Q248" s="1">
        <f t="shared" si="19"/>
        <v>9418.1679999999997</v>
      </c>
      <c r="R248" s="1" t="str">
        <f t="shared" si="20"/>
        <v>high</v>
      </c>
      <c r="S248" s="1" t="str" cm="1">
        <f t="array" ref="S248">_xlfn.IFS(L248&gt;5,"high",L248=5,"medium",L248&lt;5,"low")</f>
        <v>high</v>
      </c>
      <c r="T248" s="5" t="str">
        <f t="shared" si="21"/>
        <v>high</v>
      </c>
      <c r="U248" s="1">
        <f t="shared" si="22"/>
        <v>14715.89</v>
      </c>
      <c r="V248" t="str">
        <f t="shared" si="23"/>
        <v>Heavy</v>
      </c>
      <c r="W248" t="str" cm="1">
        <f t="array" ref="W248">_xlfn.IFS(O248&gt;=7000,"Excellent",O248&gt;=4000,"Good",O248&lt;4000,"Average")</f>
        <v>Excellent</v>
      </c>
    </row>
    <row r="249" spans="1:23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8"/>
        <v>2918.63</v>
      </c>
      <c r="Q249" s="1">
        <f t="shared" si="19"/>
        <v>11674.52</v>
      </c>
      <c r="R249" s="1" t="str">
        <f t="shared" si="20"/>
        <v>high</v>
      </c>
      <c r="S249" s="1" t="str" cm="1">
        <f t="array" ref="S249">_xlfn.IFS(L249&gt;5,"high",L249=5,"medium",L249&lt;5,"low")</f>
        <v>high</v>
      </c>
      <c r="T249" s="5" t="str">
        <f t="shared" si="21"/>
        <v>high</v>
      </c>
      <c r="U249" s="1">
        <f t="shared" si="22"/>
        <v>18241.440000000002</v>
      </c>
      <c r="V249" t="str">
        <f t="shared" si="23"/>
        <v>Heavy</v>
      </c>
      <c r="W249" t="str" cm="1">
        <f t="array" ref="W249">_xlfn.IFS(O249&gt;=7000,"Excellent",O249&gt;=4000,"Good",O249&lt;4000,"Average")</f>
        <v>Excellent</v>
      </c>
    </row>
    <row r="250" spans="1:23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8"/>
        <v>0</v>
      </c>
      <c r="Q250" s="1">
        <f t="shared" si="19"/>
        <v>3942.92</v>
      </c>
      <c r="R250" s="1" t="str">
        <f t="shared" si="20"/>
        <v>low</v>
      </c>
      <c r="S250" s="1" t="str" cm="1">
        <f t="array" ref="S250">_xlfn.IFS(L250&gt;5,"high",L250=5,"medium",L250&lt;5,"low")</f>
        <v>low</v>
      </c>
      <c r="T250" s="5" t="str">
        <f t="shared" si="21"/>
        <v>low</v>
      </c>
      <c r="U250" s="1">
        <f t="shared" si="22"/>
        <v>3942.92</v>
      </c>
      <c r="V250" t="str">
        <f t="shared" si="23"/>
        <v>Normal</v>
      </c>
      <c r="W250" t="str" cm="1">
        <f t="array" ref="W250">_xlfn.IFS(O250&gt;=7000,"Excellent",O250&gt;=4000,"Good",O250&lt;4000,"Average")</f>
        <v>Average</v>
      </c>
    </row>
    <row r="251" spans="1:23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8"/>
        <v>3565.0754999999995</v>
      </c>
      <c r="Q251" s="1">
        <f t="shared" si="19"/>
        <v>20202.094499999999</v>
      </c>
      <c r="R251" s="1" t="str">
        <f t="shared" si="20"/>
        <v>high</v>
      </c>
      <c r="S251" s="1" t="str" cm="1">
        <f t="array" ref="S251">_xlfn.IFS(L251&gt;5,"high",L251=5,"medium",L251&lt;5,"low")</f>
        <v>high</v>
      </c>
      <c r="T251" s="5" t="str">
        <f t="shared" si="21"/>
        <v>high</v>
      </c>
      <c r="U251" s="1">
        <f t="shared" si="22"/>
        <v>27961.38</v>
      </c>
      <c r="V251" t="str">
        <f t="shared" si="23"/>
        <v>Heavy</v>
      </c>
      <c r="W251" t="str" cm="1">
        <f t="array" ref="W251">_xlfn.IFS(O251&gt;=7000,"Excellent",O251&gt;=4000,"Good",O251&lt;4000,"Average")</f>
        <v>Excellent</v>
      </c>
    </row>
    <row r="252" spans="1:23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8"/>
        <v>2332.5320000000002</v>
      </c>
      <c r="Q252" s="1">
        <f t="shared" si="19"/>
        <v>9330.1280000000006</v>
      </c>
      <c r="R252" s="1" t="str">
        <f t="shared" si="20"/>
        <v>high</v>
      </c>
      <c r="S252" s="1" t="str" cm="1">
        <f t="array" ref="S252">_xlfn.IFS(L252&gt;5,"high",L252=5,"medium",L252&lt;5,"low")</f>
        <v>high</v>
      </c>
      <c r="T252" s="5" t="str">
        <f t="shared" si="21"/>
        <v>high</v>
      </c>
      <c r="U252" s="1">
        <f t="shared" si="22"/>
        <v>14578.32</v>
      </c>
      <c r="V252" t="str">
        <f t="shared" si="23"/>
        <v>Heavy</v>
      </c>
      <c r="W252" t="str" cm="1">
        <f t="array" ref="W252">_xlfn.IFS(O252&gt;=7000,"Excellent",O252&gt;=4000,"Good",O252&lt;4000,"Average")</f>
        <v>Excellent</v>
      </c>
    </row>
    <row r="253" spans="1:23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8"/>
        <v>1196.0319999999999</v>
      </c>
      <c r="Q253" s="1">
        <f t="shared" si="19"/>
        <v>4784.1279999999997</v>
      </c>
      <c r="R253" s="1" t="str">
        <f t="shared" si="20"/>
        <v>low</v>
      </c>
      <c r="S253" s="1" t="str" cm="1">
        <f t="array" ref="S253">_xlfn.IFS(L253&gt;5,"high",L253=5,"medium",L253&lt;5,"low")</f>
        <v>low</v>
      </c>
      <c r="T253" s="5" t="str">
        <f t="shared" si="21"/>
        <v>low</v>
      </c>
      <c r="U253" s="1">
        <f t="shared" si="22"/>
        <v>7475.2</v>
      </c>
      <c r="V253" t="str">
        <f t="shared" si="23"/>
        <v>Heavy</v>
      </c>
      <c r="W253" t="str" cm="1">
        <f t="array" ref="W253">_xlfn.IFS(O253&gt;=7000,"Excellent",O253&gt;=4000,"Good",O253&lt;4000,"Average")</f>
        <v>Good</v>
      </c>
    </row>
    <row r="254" spans="1:23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8"/>
        <v>1614.3225</v>
      </c>
      <c r="Q254" s="1">
        <f t="shared" si="19"/>
        <v>9147.8274999999994</v>
      </c>
      <c r="R254" s="1" t="str">
        <f t="shared" si="20"/>
        <v>high</v>
      </c>
      <c r="S254" s="1" t="str" cm="1">
        <f t="array" ref="S254">_xlfn.IFS(L254&gt;5,"high",L254=5,"medium",L254&lt;5,"low")</f>
        <v>medium</v>
      </c>
      <c r="T254" s="5" t="str">
        <f t="shared" si="21"/>
        <v>medium</v>
      </c>
      <c r="U254" s="1">
        <f t="shared" si="22"/>
        <v>12661.35</v>
      </c>
      <c r="V254" t="str">
        <f t="shared" si="23"/>
        <v>Heavy</v>
      </c>
      <c r="W254" t="str" cm="1">
        <f t="array" ref="W254">_xlfn.IFS(O254&gt;=7000,"Excellent",O254&gt;=4000,"Good",O254&lt;4000,"Average")</f>
        <v>Excellent</v>
      </c>
    </row>
    <row r="255" spans="1:23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8"/>
        <v>0</v>
      </c>
      <c r="Q255" s="1">
        <f t="shared" si="19"/>
        <v>5423.32</v>
      </c>
      <c r="R255" s="1" t="str">
        <f t="shared" si="20"/>
        <v>low</v>
      </c>
      <c r="S255" s="1" t="str" cm="1">
        <f t="array" ref="S255">_xlfn.IFS(L255&gt;5,"high",L255=5,"medium",L255&lt;5,"low")</f>
        <v>low</v>
      </c>
      <c r="T255" s="5" t="str">
        <f t="shared" si="21"/>
        <v>low</v>
      </c>
      <c r="U255" s="1">
        <f t="shared" si="22"/>
        <v>5423.32</v>
      </c>
      <c r="V255" t="str">
        <f t="shared" si="23"/>
        <v>Normal</v>
      </c>
      <c r="W255" t="str" cm="1">
        <f t="array" ref="W255">_xlfn.IFS(O255&gt;=7000,"Excellent",O255&gt;=4000,"Good",O255&lt;4000,"Average")</f>
        <v>Good</v>
      </c>
    </row>
    <row r="256" spans="1:23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8"/>
        <v>2384.2064999999998</v>
      </c>
      <c r="Q256" s="1">
        <f t="shared" si="19"/>
        <v>13510.503499999999</v>
      </c>
      <c r="R256" s="1" t="str">
        <f t="shared" si="20"/>
        <v>high</v>
      </c>
      <c r="S256" s="1" t="str" cm="1">
        <f t="array" ref="S256">_xlfn.IFS(L256&gt;5,"high",L256=5,"medium",L256&lt;5,"low")</f>
        <v>high</v>
      </c>
      <c r="T256" s="5" t="str">
        <f t="shared" si="21"/>
        <v>high</v>
      </c>
      <c r="U256" s="1">
        <f t="shared" si="22"/>
        <v>18699.659999999996</v>
      </c>
      <c r="V256" t="str">
        <f t="shared" si="23"/>
        <v>Heavy</v>
      </c>
      <c r="W256" t="str" cm="1">
        <f t="array" ref="W256">_xlfn.IFS(O256&gt;=7000,"Excellent",O256&gt;=4000,"Good",O256&lt;4000,"Average")</f>
        <v>Excellent</v>
      </c>
    </row>
    <row r="257" spans="1:23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8"/>
        <v>0</v>
      </c>
      <c r="Q257" s="1">
        <f t="shared" si="19"/>
        <v>15796.32</v>
      </c>
      <c r="R257" s="1" t="str">
        <f t="shared" si="20"/>
        <v>high</v>
      </c>
      <c r="S257" s="1" t="str" cm="1">
        <f t="array" ref="S257">_xlfn.IFS(L257&gt;5,"high",L257=5,"medium",L257&lt;5,"low")</f>
        <v>high</v>
      </c>
      <c r="T257" s="5" t="str">
        <f t="shared" si="21"/>
        <v>high</v>
      </c>
      <c r="U257" s="1">
        <f t="shared" si="22"/>
        <v>15796.32</v>
      </c>
      <c r="V257" t="str">
        <f t="shared" si="23"/>
        <v>Normal</v>
      </c>
      <c r="W257" t="str" cm="1">
        <f t="array" ref="W257">_xlfn.IFS(O257&gt;=7000,"Excellent",O257&gt;=4000,"Good",O257&lt;4000,"Average")</f>
        <v>Excellent</v>
      </c>
    </row>
    <row r="258" spans="1:23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8"/>
        <v>34.285500000000006</v>
      </c>
      <c r="Q258" s="1">
        <f t="shared" si="19"/>
        <v>651.42450000000008</v>
      </c>
      <c r="R258" s="1" t="str">
        <f t="shared" si="20"/>
        <v>low</v>
      </c>
      <c r="S258" s="1" t="str" cm="1">
        <f t="array" ref="S258">_xlfn.IFS(L258&gt;5,"high",L258=5,"medium",L258&lt;5,"low")</f>
        <v>low</v>
      </c>
      <c r="T258" s="5" t="str">
        <f t="shared" si="21"/>
        <v>low</v>
      </c>
      <c r="U258" s="1">
        <f t="shared" si="22"/>
        <v>721.8</v>
      </c>
      <c r="V258" t="str">
        <f t="shared" si="23"/>
        <v>Normal</v>
      </c>
      <c r="W258" t="str" cm="1">
        <f t="array" ref="W258">_xlfn.IFS(O258&gt;=7000,"Excellent",O258&gt;=4000,"Good",O258&lt;4000,"Average")</f>
        <v>Average</v>
      </c>
    </row>
    <row r="259" spans="1:23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4">O259*N259%</f>
        <v>0</v>
      </c>
      <c r="Q259" s="1">
        <f t="shared" ref="Q259:Q322" si="25">O259-P259</f>
        <v>12628.35</v>
      </c>
      <c r="R259" s="1" t="str">
        <f t="shared" ref="R259:R322" si="26">IF(L259&gt;=5,"high","low")</f>
        <v>high</v>
      </c>
      <c r="S259" s="1" t="str" cm="1">
        <f t="array" ref="S259">_xlfn.IFS(L259&gt;5,"high",L259=5,"medium",L259&lt;5,"low")</f>
        <v>high</v>
      </c>
      <c r="T259" s="5" t="str">
        <f t="shared" ref="T259:T322" si="27">IF(L259&gt;5,"high",IF(L259=5,"medium","low"))</f>
        <v>high</v>
      </c>
      <c r="U259" s="1">
        <f t="shared" ref="U259:U322" si="28">L259*M259</f>
        <v>12628.35</v>
      </c>
      <c r="V259" t="str">
        <f t="shared" ref="V259:V322" si="29">IF(N259&gt;10,"Heavy","Normal")</f>
        <v>Normal</v>
      </c>
      <c r="W259" t="str" cm="1">
        <f t="array" ref="W259">_xlfn.IFS(O259&gt;=7000,"Excellent",O259&gt;=4000,"Good",O259&lt;4000,"Average")</f>
        <v>Excellent</v>
      </c>
    </row>
    <row r="260" spans="1:23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4"/>
        <v>523.22149999999999</v>
      </c>
      <c r="Q260" s="1">
        <f t="shared" si="25"/>
        <v>9941.2085000000006</v>
      </c>
      <c r="R260" s="1" t="str">
        <f t="shared" si="26"/>
        <v>high</v>
      </c>
      <c r="S260" s="1" t="str" cm="1">
        <f t="array" ref="S260">_xlfn.IFS(L260&gt;5,"high",L260=5,"medium",L260&lt;5,"low")</f>
        <v>high</v>
      </c>
      <c r="T260" s="5" t="str">
        <f t="shared" si="27"/>
        <v>high</v>
      </c>
      <c r="U260" s="1">
        <f t="shared" si="28"/>
        <v>11015.19</v>
      </c>
      <c r="V260" t="str">
        <f t="shared" si="29"/>
        <v>Normal</v>
      </c>
      <c r="W260" t="str" cm="1">
        <f t="array" ref="W260">_xlfn.IFS(O260&gt;=7000,"Excellent",O260&gt;=4000,"Good",O260&lt;4000,"Average")</f>
        <v>Excellent</v>
      </c>
    </row>
    <row r="261" spans="1:23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4"/>
        <v>92.242999999999995</v>
      </c>
      <c r="Q261" s="1">
        <f t="shared" si="25"/>
        <v>1752.617</v>
      </c>
      <c r="R261" s="1" t="str">
        <f t="shared" si="26"/>
        <v>low</v>
      </c>
      <c r="S261" s="1" t="str" cm="1">
        <f t="array" ref="S261">_xlfn.IFS(L261&gt;5,"high",L261=5,"medium",L261&lt;5,"low")</f>
        <v>low</v>
      </c>
      <c r="T261" s="5" t="str">
        <f t="shared" si="27"/>
        <v>low</v>
      </c>
      <c r="U261" s="1">
        <f t="shared" si="28"/>
        <v>1941.96</v>
      </c>
      <c r="V261" t="str">
        <f t="shared" si="29"/>
        <v>Normal</v>
      </c>
      <c r="W261" t="str" cm="1">
        <f t="array" ref="W261">_xlfn.IFS(O261&gt;=7000,"Excellent",O261&gt;=4000,"Good",O261&lt;4000,"Average")</f>
        <v>Average</v>
      </c>
    </row>
    <row r="262" spans="1:23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4"/>
        <v>0</v>
      </c>
      <c r="Q262" s="1">
        <f t="shared" si="25"/>
        <v>1066.5</v>
      </c>
      <c r="R262" s="1" t="str">
        <f t="shared" si="26"/>
        <v>low</v>
      </c>
      <c r="S262" s="1" t="str" cm="1">
        <f t="array" ref="S262">_xlfn.IFS(L262&gt;5,"high",L262=5,"medium",L262&lt;5,"low")</f>
        <v>low</v>
      </c>
      <c r="T262" s="5" t="str">
        <f t="shared" si="27"/>
        <v>low</v>
      </c>
      <c r="U262" s="1">
        <f t="shared" si="28"/>
        <v>1066.5</v>
      </c>
      <c r="V262" t="str">
        <f t="shared" si="29"/>
        <v>Normal</v>
      </c>
      <c r="W262" t="str" cm="1">
        <f t="array" ref="W262">_xlfn.IFS(O262&gt;=7000,"Excellent",O262&gt;=4000,"Good",O262&lt;4000,"Average")</f>
        <v>Average</v>
      </c>
    </row>
    <row r="263" spans="1:23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4"/>
        <v>1557.5430000000001</v>
      </c>
      <c r="Q263" s="1">
        <f t="shared" si="25"/>
        <v>14017.887000000001</v>
      </c>
      <c r="R263" s="1" t="str">
        <f t="shared" si="26"/>
        <v>high</v>
      </c>
      <c r="S263" s="1" t="str" cm="1">
        <f t="array" ref="S263">_xlfn.IFS(L263&gt;5,"high",L263=5,"medium",L263&lt;5,"low")</f>
        <v>high</v>
      </c>
      <c r="T263" s="5" t="str">
        <f t="shared" si="27"/>
        <v>high</v>
      </c>
      <c r="U263" s="1">
        <f t="shared" si="28"/>
        <v>17306.03</v>
      </c>
      <c r="V263" t="str">
        <f t="shared" si="29"/>
        <v>Normal</v>
      </c>
      <c r="W263" t="str" cm="1">
        <f t="array" ref="W263">_xlfn.IFS(O263&gt;=7000,"Excellent",O263&gt;=4000,"Good",O263&lt;4000,"Average")</f>
        <v>Excellent</v>
      </c>
    </row>
    <row r="264" spans="1:23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4"/>
        <v>0</v>
      </c>
      <c r="Q264" s="1">
        <f t="shared" si="25"/>
        <v>15161.02</v>
      </c>
      <c r="R264" s="1" t="str">
        <f t="shared" si="26"/>
        <v>high</v>
      </c>
      <c r="S264" s="1" t="str" cm="1">
        <f t="array" ref="S264">_xlfn.IFS(L264&gt;5,"high",L264=5,"medium",L264&lt;5,"low")</f>
        <v>high</v>
      </c>
      <c r="T264" s="5" t="str">
        <f t="shared" si="27"/>
        <v>high</v>
      </c>
      <c r="U264" s="1">
        <f t="shared" si="28"/>
        <v>15161.02</v>
      </c>
      <c r="V264" t="str">
        <f t="shared" si="29"/>
        <v>Normal</v>
      </c>
      <c r="W264" t="str" cm="1">
        <f t="array" ref="W264">_xlfn.IFS(O264&gt;=7000,"Excellent",O264&gt;=4000,"Good",O264&lt;4000,"Average")</f>
        <v>Excellent</v>
      </c>
    </row>
    <row r="265" spans="1:23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4"/>
        <v>720.83199999999999</v>
      </c>
      <c r="Q265" s="1">
        <f t="shared" si="25"/>
        <v>2883.328</v>
      </c>
      <c r="R265" s="1" t="str">
        <f t="shared" si="26"/>
        <v>low</v>
      </c>
      <c r="S265" s="1" t="str" cm="1">
        <f t="array" ref="S265">_xlfn.IFS(L265&gt;5,"high",L265=5,"medium",L265&lt;5,"low")</f>
        <v>low</v>
      </c>
      <c r="T265" s="5" t="str">
        <f t="shared" si="27"/>
        <v>low</v>
      </c>
      <c r="U265" s="1">
        <f t="shared" si="28"/>
        <v>4505.2</v>
      </c>
      <c r="V265" t="str">
        <f t="shared" si="29"/>
        <v>Heavy</v>
      </c>
      <c r="W265" t="str" cm="1">
        <f t="array" ref="W265">_xlfn.IFS(O265&gt;=7000,"Excellent",O265&gt;=4000,"Good",O265&lt;4000,"Average")</f>
        <v>Average</v>
      </c>
    </row>
    <row r="266" spans="1:23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4"/>
        <v>2826.9500000000003</v>
      </c>
      <c r="Q266" s="1">
        <f t="shared" si="25"/>
        <v>11307.8</v>
      </c>
      <c r="R266" s="1" t="str">
        <f t="shared" si="26"/>
        <v>high</v>
      </c>
      <c r="S266" s="1" t="str" cm="1">
        <f t="array" ref="S266">_xlfn.IFS(L266&gt;5,"high",L266=5,"medium",L266&lt;5,"low")</f>
        <v>high</v>
      </c>
      <c r="T266" s="5" t="str">
        <f t="shared" si="27"/>
        <v>high</v>
      </c>
      <c r="U266" s="1">
        <f t="shared" si="28"/>
        <v>17668.440000000002</v>
      </c>
      <c r="V266" t="str">
        <f t="shared" si="29"/>
        <v>Heavy</v>
      </c>
      <c r="W266" t="str" cm="1">
        <f t="array" ref="W266">_xlfn.IFS(O266&gt;=7000,"Excellent",O266&gt;=4000,"Good",O266&lt;4000,"Average")</f>
        <v>Excellent</v>
      </c>
    </row>
    <row r="267" spans="1:23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4"/>
        <v>1472.4650000000001</v>
      </c>
      <c r="Q267" s="1">
        <f t="shared" si="25"/>
        <v>13252.184999999999</v>
      </c>
      <c r="R267" s="1" t="str">
        <f t="shared" si="26"/>
        <v>high</v>
      </c>
      <c r="S267" s="1" t="str" cm="1">
        <f t="array" ref="S267">_xlfn.IFS(L267&gt;5,"high",L267=5,"medium",L267&lt;5,"low")</f>
        <v>high</v>
      </c>
      <c r="T267" s="5" t="str">
        <f t="shared" si="27"/>
        <v>high</v>
      </c>
      <c r="U267" s="1">
        <f t="shared" si="28"/>
        <v>16360.72</v>
      </c>
      <c r="V267" t="str">
        <f t="shared" si="29"/>
        <v>Normal</v>
      </c>
      <c r="W267" t="str" cm="1">
        <f t="array" ref="W267">_xlfn.IFS(O267&gt;=7000,"Excellent",O267&gt;=4000,"Good",O267&lt;4000,"Average")</f>
        <v>Excellent</v>
      </c>
    </row>
    <row r="268" spans="1:23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4"/>
        <v>42.787000000000006</v>
      </c>
      <c r="Q268" s="1">
        <f t="shared" si="25"/>
        <v>812.95299999999997</v>
      </c>
      <c r="R268" s="1" t="str">
        <f t="shared" si="26"/>
        <v>low</v>
      </c>
      <c r="S268" s="1" t="str" cm="1">
        <f t="array" ref="S268">_xlfn.IFS(L268&gt;5,"high",L268=5,"medium",L268&lt;5,"low")</f>
        <v>low</v>
      </c>
      <c r="T268" s="5" t="str">
        <f t="shared" si="27"/>
        <v>low</v>
      </c>
      <c r="U268" s="1">
        <f t="shared" si="28"/>
        <v>900.78</v>
      </c>
      <c r="V268" t="str">
        <f t="shared" si="29"/>
        <v>Normal</v>
      </c>
      <c r="W268" t="str" cm="1">
        <f t="array" ref="W268">_xlfn.IFS(O268&gt;=7000,"Excellent",O268&gt;=4000,"Good",O268&lt;4000,"Average")</f>
        <v>Average</v>
      </c>
    </row>
    <row r="269" spans="1:23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4"/>
        <v>239.45000000000002</v>
      </c>
      <c r="Q269" s="1">
        <f t="shared" si="25"/>
        <v>2155.0500000000002</v>
      </c>
      <c r="R269" s="1" t="str">
        <f t="shared" si="26"/>
        <v>low</v>
      </c>
      <c r="S269" s="1" t="str" cm="1">
        <f t="array" ref="S269">_xlfn.IFS(L269&gt;5,"high",L269=5,"medium",L269&lt;5,"low")</f>
        <v>low</v>
      </c>
      <c r="T269" s="5" t="str">
        <f t="shared" si="27"/>
        <v>low</v>
      </c>
      <c r="U269" s="1">
        <f t="shared" si="28"/>
        <v>2660.56</v>
      </c>
      <c r="V269" t="str">
        <f t="shared" si="29"/>
        <v>Normal</v>
      </c>
      <c r="W269" t="str" cm="1">
        <f t="array" ref="W269">_xlfn.IFS(O269&gt;=7000,"Excellent",O269&gt;=4000,"Good",O269&lt;4000,"Average")</f>
        <v>Average</v>
      </c>
    </row>
    <row r="270" spans="1:23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4"/>
        <v>2525.232</v>
      </c>
      <c r="Q270" s="1">
        <f t="shared" si="25"/>
        <v>10100.928</v>
      </c>
      <c r="R270" s="1" t="str">
        <f t="shared" si="26"/>
        <v>high</v>
      </c>
      <c r="S270" s="1" t="str" cm="1">
        <f t="array" ref="S270">_xlfn.IFS(L270&gt;5,"high",L270=5,"medium",L270&lt;5,"low")</f>
        <v>medium</v>
      </c>
      <c r="T270" s="5" t="str">
        <f t="shared" si="27"/>
        <v>medium</v>
      </c>
      <c r="U270" s="1">
        <f t="shared" si="28"/>
        <v>15782.7</v>
      </c>
      <c r="V270" t="str">
        <f t="shared" si="29"/>
        <v>Heavy</v>
      </c>
      <c r="W270" t="str" cm="1">
        <f t="array" ref="W270">_xlfn.IFS(O270&gt;=7000,"Excellent",O270&gt;=4000,"Good",O270&lt;4000,"Average")</f>
        <v>Excellent</v>
      </c>
    </row>
    <row r="271" spans="1:23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4"/>
        <v>1726.45</v>
      </c>
      <c r="Q271" s="1">
        <f t="shared" si="25"/>
        <v>15538.05</v>
      </c>
      <c r="R271" s="1" t="str">
        <f t="shared" si="26"/>
        <v>high</v>
      </c>
      <c r="S271" s="1" t="str" cm="1">
        <f t="array" ref="S271">_xlfn.IFS(L271&gt;5,"high",L271=5,"medium",L271&lt;5,"low")</f>
        <v>high</v>
      </c>
      <c r="T271" s="5" t="str">
        <f t="shared" si="27"/>
        <v>high</v>
      </c>
      <c r="U271" s="1">
        <f t="shared" si="28"/>
        <v>19182.78</v>
      </c>
      <c r="V271" t="str">
        <f t="shared" si="29"/>
        <v>Normal</v>
      </c>
      <c r="W271" t="str" cm="1">
        <f t="array" ref="W271">_xlfn.IFS(O271&gt;=7000,"Excellent",O271&gt;=4000,"Good",O271&lt;4000,"Average")</f>
        <v>Excellent</v>
      </c>
    </row>
    <row r="272" spans="1:23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4"/>
        <v>0</v>
      </c>
      <c r="Q272" s="1">
        <f t="shared" si="25"/>
        <v>7408.53</v>
      </c>
      <c r="R272" s="1" t="str">
        <f t="shared" si="26"/>
        <v>low</v>
      </c>
      <c r="S272" s="1" t="str" cm="1">
        <f t="array" ref="S272">_xlfn.IFS(L272&gt;5,"high",L272=5,"medium",L272&lt;5,"low")</f>
        <v>low</v>
      </c>
      <c r="T272" s="5" t="str">
        <f t="shared" si="27"/>
        <v>low</v>
      </c>
      <c r="U272" s="1">
        <f t="shared" si="28"/>
        <v>7408.5300000000007</v>
      </c>
      <c r="V272" t="str">
        <f t="shared" si="29"/>
        <v>Normal</v>
      </c>
      <c r="W272" t="str" cm="1">
        <f t="array" ref="W272">_xlfn.IFS(O272&gt;=7000,"Excellent",O272&gt;=4000,"Good",O272&lt;4000,"Average")</f>
        <v>Excellent</v>
      </c>
    </row>
    <row r="273" spans="1:23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4"/>
        <v>1717.046</v>
      </c>
      <c r="Q273" s="1">
        <f t="shared" si="25"/>
        <v>15453.413999999999</v>
      </c>
      <c r="R273" s="1" t="str">
        <f t="shared" si="26"/>
        <v>high</v>
      </c>
      <c r="S273" s="1" t="str" cm="1">
        <f t="array" ref="S273">_xlfn.IFS(L273&gt;5,"high",L273=5,"medium",L273&lt;5,"low")</f>
        <v>high</v>
      </c>
      <c r="T273" s="5" t="str">
        <f t="shared" si="27"/>
        <v>high</v>
      </c>
      <c r="U273" s="1">
        <f t="shared" si="28"/>
        <v>19078.29</v>
      </c>
      <c r="V273" t="str">
        <f t="shared" si="29"/>
        <v>Normal</v>
      </c>
      <c r="W273" t="str" cm="1">
        <f t="array" ref="W273">_xlfn.IFS(O273&gt;=7000,"Excellent",O273&gt;=4000,"Good",O273&lt;4000,"Average")</f>
        <v>Excellent</v>
      </c>
    </row>
    <row r="274" spans="1:23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4"/>
        <v>109.69100000000002</v>
      </c>
      <c r="Q274" s="1">
        <f t="shared" si="25"/>
        <v>2084.1290000000004</v>
      </c>
      <c r="R274" s="1" t="str">
        <f t="shared" si="26"/>
        <v>high</v>
      </c>
      <c r="S274" s="1" t="str" cm="1">
        <f t="array" ref="S274">_xlfn.IFS(L274&gt;5,"high",L274=5,"medium",L274&lt;5,"low")</f>
        <v>high</v>
      </c>
      <c r="T274" s="5" t="str">
        <f t="shared" si="27"/>
        <v>high</v>
      </c>
      <c r="U274" s="1">
        <f t="shared" si="28"/>
        <v>2309.2799999999997</v>
      </c>
      <c r="V274" t="str">
        <f t="shared" si="29"/>
        <v>Normal</v>
      </c>
      <c r="W274" t="str" cm="1">
        <f t="array" ref="W274">_xlfn.IFS(O274&gt;=7000,"Excellent",O274&gt;=4000,"Good",O274&lt;4000,"Average")</f>
        <v>Average</v>
      </c>
    </row>
    <row r="275" spans="1:23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4"/>
        <v>0</v>
      </c>
      <c r="Q275" s="1">
        <f t="shared" si="25"/>
        <v>5032.6000000000004</v>
      </c>
      <c r="R275" s="1" t="str">
        <f t="shared" si="26"/>
        <v>low</v>
      </c>
      <c r="S275" s="1" t="str" cm="1">
        <f t="array" ref="S275">_xlfn.IFS(L275&gt;5,"high",L275=5,"medium",L275&lt;5,"low")</f>
        <v>low</v>
      </c>
      <c r="T275" s="5" t="str">
        <f t="shared" si="27"/>
        <v>low</v>
      </c>
      <c r="U275" s="1">
        <f t="shared" si="28"/>
        <v>5032.6000000000004</v>
      </c>
      <c r="V275" t="str">
        <f t="shared" si="29"/>
        <v>Normal</v>
      </c>
      <c r="W275" t="str" cm="1">
        <f t="array" ref="W275">_xlfn.IFS(O275&gt;=7000,"Excellent",O275&gt;=4000,"Good",O275&lt;4000,"Average")</f>
        <v>Good</v>
      </c>
    </row>
    <row r="276" spans="1:23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4"/>
        <v>454.37099999999998</v>
      </c>
      <c r="Q276" s="1">
        <f t="shared" si="25"/>
        <v>2574.7689999999998</v>
      </c>
      <c r="R276" s="1" t="str">
        <f t="shared" si="26"/>
        <v>high</v>
      </c>
      <c r="S276" s="1" t="str" cm="1">
        <f t="array" ref="S276">_xlfn.IFS(L276&gt;5,"high",L276=5,"medium",L276&lt;5,"low")</f>
        <v>high</v>
      </c>
      <c r="T276" s="5" t="str">
        <f t="shared" si="27"/>
        <v>high</v>
      </c>
      <c r="U276" s="1">
        <f t="shared" si="28"/>
        <v>3563.7000000000003</v>
      </c>
      <c r="V276" t="str">
        <f t="shared" si="29"/>
        <v>Heavy</v>
      </c>
      <c r="W276" t="str" cm="1">
        <f t="array" ref="W276">_xlfn.IFS(O276&gt;=7000,"Excellent",O276&gt;=4000,"Good",O276&lt;4000,"Average")</f>
        <v>Average</v>
      </c>
    </row>
    <row r="277" spans="1:23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4"/>
        <v>4941.7220000000007</v>
      </c>
      <c r="Q277" s="1">
        <f t="shared" si="25"/>
        <v>19766.887999999999</v>
      </c>
      <c r="R277" s="1" t="str">
        <f t="shared" si="26"/>
        <v>high</v>
      </c>
      <c r="S277" s="1" t="str" cm="1">
        <f t="array" ref="S277">_xlfn.IFS(L277&gt;5,"high",L277=5,"medium",L277&lt;5,"low")</f>
        <v>high</v>
      </c>
      <c r="T277" s="5" t="str">
        <f t="shared" si="27"/>
        <v>high</v>
      </c>
      <c r="U277" s="1">
        <f t="shared" si="28"/>
        <v>30885.759999999998</v>
      </c>
      <c r="V277" t="str">
        <f t="shared" si="29"/>
        <v>Heavy</v>
      </c>
      <c r="W277" t="str" cm="1">
        <f t="array" ref="W277">_xlfn.IFS(O277&gt;=7000,"Excellent",O277&gt;=4000,"Good",O277&lt;4000,"Average")</f>
        <v>Excellent</v>
      </c>
    </row>
    <row r="278" spans="1:23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4"/>
        <v>964.88600000000008</v>
      </c>
      <c r="Q278" s="1">
        <f t="shared" si="25"/>
        <v>3859.5440000000003</v>
      </c>
      <c r="R278" s="1" t="str">
        <f t="shared" si="26"/>
        <v>high</v>
      </c>
      <c r="S278" s="1" t="str" cm="1">
        <f t="array" ref="S278">_xlfn.IFS(L278&gt;5,"high",L278=5,"medium",L278&lt;5,"low")</f>
        <v>high</v>
      </c>
      <c r="T278" s="5" t="str">
        <f t="shared" si="27"/>
        <v>high</v>
      </c>
      <c r="U278" s="1">
        <f t="shared" si="28"/>
        <v>6030.5399999999991</v>
      </c>
      <c r="V278" t="str">
        <f t="shared" si="29"/>
        <v>Heavy</v>
      </c>
      <c r="W278" t="str" cm="1">
        <f t="array" ref="W278">_xlfn.IFS(O278&gt;=7000,"Excellent",O278&gt;=4000,"Good",O278&lt;4000,"Average")</f>
        <v>Good</v>
      </c>
    </row>
    <row r="279" spans="1:23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4"/>
        <v>396.54400000000004</v>
      </c>
      <c r="Q279" s="1">
        <f t="shared" si="25"/>
        <v>3568.8960000000002</v>
      </c>
      <c r="R279" s="1" t="str">
        <f t="shared" si="26"/>
        <v>high</v>
      </c>
      <c r="S279" s="1" t="str" cm="1">
        <f t="array" ref="S279">_xlfn.IFS(L279&gt;5,"high",L279=5,"medium",L279&lt;5,"low")</f>
        <v>high</v>
      </c>
      <c r="T279" s="5" t="str">
        <f t="shared" si="27"/>
        <v>high</v>
      </c>
      <c r="U279" s="1">
        <f t="shared" si="28"/>
        <v>4406.04</v>
      </c>
      <c r="V279" t="str">
        <f t="shared" si="29"/>
        <v>Normal</v>
      </c>
      <c r="W279" t="str" cm="1">
        <f t="array" ref="W279">_xlfn.IFS(O279&gt;=7000,"Excellent",O279&gt;=4000,"Good",O279&lt;4000,"Average")</f>
        <v>Average</v>
      </c>
    </row>
    <row r="280" spans="1:23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4"/>
        <v>0</v>
      </c>
      <c r="Q280" s="1">
        <f t="shared" si="25"/>
        <v>21449.22</v>
      </c>
      <c r="R280" s="1" t="str">
        <f t="shared" si="26"/>
        <v>high</v>
      </c>
      <c r="S280" s="1" t="str" cm="1">
        <f t="array" ref="S280">_xlfn.IFS(L280&gt;5,"high",L280=5,"medium",L280&lt;5,"low")</f>
        <v>high</v>
      </c>
      <c r="T280" s="5" t="str">
        <f t="shared" si="27"/>
        <v>high</v>
      </c>
      <c r="U280" s="1">
        <f t="shared" si="28"/>
        <v>21449.22</v>
      </c>
      <c r="V280" t="str">
        <f t="shared" si="29"/>
        <v>Normal</v>
      </c>
      <c r="W280" t="str" cm="1">
        <f t="array" ref="W280">_xlfn.IFS(O280&gt;=7000,"Excellent",O280&gt;=4000,"Good",O280&lt;4000,"Average")</f>
        <v>Excellent</v>
      </c>
    </row>
    <row r="281" spans="1:23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4"/>
        <v>3859.8029999999999</v>
      </c>
      <c r="Q281" s="1">
        <f t="shared" si="25"/>
        <v>21872.217000000001</v>
      </c>
      <c r="R281" s="1" t="str">
        <f t="shared" si="26"/>
        <v>high</v>
      </c>
      <c r="S281" s="1" t="str" cm="1">
        <f t="array" ref="S281">_xlfn.IFS(L281&gt;5,"high",L281=5,"medium",L281&lt;5,"low")</f>
        <v>high</v>
      </c>
      <c r="T281" s="5" t="str">
        <f t="shared" si="27"/>
        <v>high</v>
      </c>
      <c r="U281" s="1">
        <f t="shared" si="28"/>
        <v>30272.959999999999</v>
      </c>
      <c r="V281" t="str">
        <f t="shared" si="29"/>
        <v>Heavy</v>
      </c>
      <c r="W281" t="str" cm="1">
        <f t="array" ref="W281">_xlfn.IFS(O281&gt;=7000,"Excellent",O281&gt;=4000,"Good",O281&lt;4000,"Average")</f>
        <v>Excellent</v>
      </c>
    </row>
    <row r="282" spans="1:23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4"/>
        <v>0</v>
      </c>
      <c r="Q282" s="1">
        <f t="shared" si="25"/>
        <v>15492.2</v>
      </c>
      <c r="R282" s="1" t="str">
        <f t="shared" si="26"/>
        <v>high</v>
      </c>
      <c r="S282" s="1" t="str" cm="1">
        <f t="array" ref="S282">_xlfn.IFS(L282&gt;5,"high",L282=5,"medium",L282&lt;5,"low")</f>
        <v>medium</v>
      </c>
      <c r="T282" s="5" t="str">
        <f t="shared" si="27"/>
        <v>medium</v>
      </c>
      <c r="U282" s="1">
        <f t="shared" si="28"/>
        <v>15492.2</v>
      </c>
      <c r="V282" t="str">
        <f t="shared" si="29"/>
        <v>Normal</v>
      </c>
      <c r="W282" t="str" cm="1">
        <f t="array" ref="W282">_xlfn.IFS(O282&gt;=7000,"Excellent",O282&gt;=4000,"Good",O282&lt;4000,"Average")</f>
        <v>Excellent</v>
      </c>
    </row>
    <row r="283" spans="1:23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4"/>
        <v>81.988</v>
      </c>
      <c r="Q283" s="1">
        <f t="shared" si="25"/>
        <v>327.952</v>
      </c>
      <c r="R283" s="1" t="str">
        <f t="shared" si="26"/>
        <v>low</v>
      </c>
      <c r="S283" s="1" t="str" cm="1">
        <f t="array" ref="S283">_xlfn.IFS(L283&gt;5,"high",L283=5,"medium",L283&lt;5,"low")</f>
        <v>low</v>
      </c>
      <c r="T283" s="5" t="str">
        <f t="shared" si="27"/>
        <v>low</v>
      </c>
      <c r="U283" s="1">
        <f t="shared" si="28"/>
        <v>512.43000000000006</v>
      </c>
      <c r="V283" t="str">
        <f t="shared" si="29"/>
        <v>Heavy</v>
      </c>
      <c r="W283" t="str" cm="1">
        <f t="array" ref="W283">_xlfn.IFS(O283&gt;=7000,"Excellent",O283&gt;=4000,"Good",O283&lt;4000,"Average")</f>
        <v>Average</v>
      </c>
    </row>
    <row r="284" spans="1:23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4"/>
        <v>0</v>
      </c>
      <c r="Q284" s="1">
        <f t="shared" si="25"/>
        <v>465.54</v>
      </c>
      <c r="R284" s="1" t="str">
        <f t="shared" si="26"/>
        <v>low</v>
      </c>
      <c r="S284" s="1" t="str" cm="1">
        <f t="array" ref="S284">_xlfn.IFS(L284&gt;5,"high",L284=5,"medium",L284&lt;5,"low")</f>
        <v>low</v>
      </c>
      <c r="T284" s="5" t="str">
        <f t="shared" si="27"/>
        <v>low</v>
      </c>
      <c r="U284" s="1">
        <f t="shared" si="28"/>
        <v>465.54</v>
      </c>
      <c r="V284" t="str">
        <f t="shared" si="29"/>
        <v>Normal</v>
      </c>
      <c r="W284" t="str" cm="1">
        <f t="array" ref="W284">_xlfn.IFS(O284&gt;=7000,"Excellent",O284&gt;=4000,"Good",O284&lt;4000,"Average")</f>
        <v>Average</v>
      </c>
    </row>
    <row r="285" spans="1:23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4"/>
        <v>1228.3530000000001</v>
      </c>
      <c r="Q285" s="1">
        <f t="shared" si="25"/>
        <v>6960.6670000000004</v>
      </c>
      <c r="R285" s="1" t="str">
        <f t="shared" si="26"/>
        <v>high</v>
      </c>
      <c r="S285" s="1" t="str" cm="1">
        <f t="array" ref="S285">_xlfn.IFS(L285&gt;5,"high",L285=5,"medium",L285&lt;5,"low")</f>
        <v>high</v>
      </c>
      <c r="T285" s="5" t="str">
        <f t="shared" si="27"/>
        <v>high</v>
      </c>
      <c r="U285" s="1">
        <f t="shared" si="28"/>
        <v>9634.14</v>
      </c>
      <c r="V285" t="str">
        <f t="shared" si="29"/>
        <v>Heavy</v>
      </c>
      <c r="W285" t="str" cm="1">
        <f t="array" ref="W285">_xlfn.IFS(O285&gt;=7000,"Excellent",O285&gt;=4000,"Good",O285&lt;4000,"Average")</f>
        <v>Excellent</v>
      </c>
    </row>
    <row r="286" spans="1:23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4"/>
        <v>126.373</v>
      </c>
      <c r="Q286" s="1">
        <f t="shared" si="25"/>
        <v>1137.357</v>
      </c>
      <c r="R286" s="1" t="str">
        <f t="shared" si="26"/>
        <v>low</v>
      </c>
      <c r="S286" s="1" t="str" cm="1">
        <f t="array" ref="S286">_xlfn.IFS(L286&gt;5,"high",L286=5,"medium",L286&lt;5,"low")</f>
        <v>low</v>
      </c>
      <c r="T286" s="5" t="str">
        <f t="shared" si="27"/>
        <v>low</v>
      </c>
      <c r="U286" s="1">
        <f t="shared" si="28"/>
        <v>1404.14</v>
      </c>
      <c r="V286" t="str">
        <f t="shared" si="29"/>
        <v>Normal</v>
      </c>
      <c r="W286" t="str" cm="1">
        <f t="array" ref="W286">_xlfn.IFS(O286&gt;=7000,"Excellent",O286&gt;=4000,"Good",O286&lt;4000,"Average")</f>
        <v>Average</v>
      </c>
    </row>
    <row r="287" spans="1:23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4"/>
        <v>62.925000000000004</v>
      </c>
      <c r="Q287" s="1">
        <f t="shared" si="25"/>
        <v>1195.575</v>
      </c>
      <c r="R287" s="1" t="str">
        <f t="shared" si="26"/>
        <v>high</v>
      </c>
      <c r="S287" s="1" t="str" cm="1">
        <f t="array" ref="S287">_xlfn.IFS(L287&gt;5,"high",L287=5,"medium",L287&lt;5,"low")</f>
        <v>high</v>
      </c>
      <c r="T287" s="5" t="str">
        <f t="shared" si="27"/>
        <v>high</v>
      </c>
      <c r="U287" s="1">
        <f t="shared" si="28"/>
        <v>1324.74</v>
      </c>
      <c r="V287" t="str">
        <f t="shared" si="29"/>
        <v>Normal</v>
      </c>
      <c r="W287" t="str" cm="1">
        <f t="array" ref="W287">_xlfn.IFS(O287&gt;=7000,"Excellent",O287&gt;=4000,"Good",O287&lt;4000,"Average")</f>
        <v>Average</v>
      </c>
    </row>
    <row r="288" spans="1:23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4"/>
        <v>0</v>
      </c>
      <c r="Q288" s="1">
        <f t="shared" si="25"/>
        <v>11619.96</v>
      </c>
      <c r="R288" s="1" t="str">
        <f t="shared" si="26"/>
        <v>high</v>
      </c>
      <c r="S288" s="1" t="str" cm="1">
        <f t="array" ref="S288">_xlfn.IFS(L288&gt;5,"high",L288=5,"medium",L288&lt;5,"low")</f>
        <v>high</v>
      </c>
      <c r="T288" s="5" t="str">
        <f t="shared" si="27"/>
        <v>high</v>
      </c>
      <c r="U288" s="1">
        <f t="shared" si="28"/>
        <v>11619.960000000001</v>
      </c>
      <c r="V288" t="str">
        <f t="shared" si="29"/>
        <v>Normal</v>
      </c>
      <c r="W288" t="str" cm="1">
        <f t="array" ref="W288">_xlfn.IFS(O288&gt;=7000,"Excellent",O288&gt;=4000,"Good",O288&lt;4000,"Average")</f>
        <v>Excellent</v>
      </c>
    </row>
    <row r="289" spans="1:23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4"/>
        <v>1436.7</v>
      </c>
      <c r="Q289" s="1">
        <f t="shared" si="25"/>
        <v>27297.3</v>
      </c>
      <c r="R289" s="1" t="str">
        <f t="shared" si="26"/>
        <v>high</v>
      </c>
      <c r="S289" s="1" t="str" cm="1">
        <f t="array" ref="S289">_xlfn.IFS(L289&gt;5,"high",L289=5,"medium",L289&lt;5,"low")</f>
        <v>high</v>
      </c>
      <c r="T289" s="5" t="str">
        <f t="shared" si="27"/>
        <v>high</v>
      </c>
      <c r="U289" s="1">
        <f t="shared" si="28"/>
        <v>30246.32</v>
      </c>
      <c r="V289" t="str">
        <f t="shared" si="29"/>
        <v>Normal</v>
      </c>
      <c r="W289" t="str" cm="1">
        <f t="array" ref="W289">_xlfn.IFS(O289&gt;=7000,"Excellent",O289&gt;=4000,"Good",O289&lt;4000,"Average")</f>
        <v>Excellent</v>
      </c>
    </row>
    <row r="290" spans="1:23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4"/>
        <v>1564.316</v>
      </c>
      <c r="Q290" s="1">
        <f t="shared" si="25"/>
        <v>6257.2640000000001</v>
      </c>
      <c r="R290" s="1" t="str">
        <f t="shared" si="26"/>
        <v>high</v>
      </c>
      <c r="S290" s="1" t="str" cm="1">
        <f t="array" ref="S290">_xlfn.IFS(L290&gt;5,"high",L290=5,"medium",L290&lt;5,"low")</f>
        <v>high</v>
      </c>
      <c r="T290" s="5" t="str">
        <f t="shared" si="27"/>
        <v>high</v>
      </c>
      <c r="U290" s="1">
        <f t="shared" si="28"/>
        <v>9776.9700000000012</v>
      </c>
      <c r="V290" t="str">
        <f t="shared" si="29"/>
        <v>Heavy</v>
      </c>
      <c r="W290" t="str" cm="1">
        <f t="array" ref="W290">_xlfn.IFS(O290&gt;=7000,"Excellent",O290&gt;=4000,"Good",O290&lt;4000,"Average")</f>
        <v>Excellent</v>
      </c>
    </row>
    <row r="291" spans="1:23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4"/>
        <v>1940.6810000000003</v>
      </c>
      <c r="Q291" s="1">
        <f t="shared" si="25"/>
        <v>17466.129000000001</v>
      </c>
      <c r="R291" s="1" t="str">
        <f t="shared" si="26"/>
        <v>high</v>
      </c>
      <c r="S291" s="1" t="str" cm="1">
        <f t="array" ref="S291">_xlfn.IFS(L291&gt;5,"high",L291=5,"medium",L291&lt;5,"low")</f>
        <v>high</v>
      </c>
      <c r="T291" s="5" t="str">
        <f t="shared" si="27"/>
        <v>high</v>
      </c>
      <c r="U291" s="1">
        <f t="shared" si="28"/>
        <v>21563.119999999999</v>
      </c>
      <c r="V291" t="str">
        <f t="shared" si="29"/>
        <v>Normal</v>
      </c>
      <c r="W291" t="str" cm="1">
        <f t="array" ref="W291">_xlfn.IFS(O291&gt;=7000,"Excellent",O291&gt;=4000,"Good",O291&lt;4000,"Average")</f>
        <v>Excellent</v>
      </c>
    </row>
    <row r="292" spans="1:23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4"/>
        <v>2155.4990000000003</v>
      </c>
      <c r="Q292" s="1">
        <f t="shared" si="25"/>
        <v>19399.491000000002</v>
      </c>
      <c r="R292" s="1" t="str">
        <f t="shared" si="26"/>
        <v>high</v>
      </c>
      <c r="S292" s="1" t="str" cm="1">
        <f t="array" ref="S292">_xlfn.IFS(L292&gt;5,"high",L292=5,"medium",L292&lt;5,"low")</f>
        <v>high</v>
      </c>
      <c r="T292" s="5" t="str">
        <f t="shared" si="27"/>
        <v>high</v>
      </c>
      <c r="U292" s="1">
        <f t="shared" si="28"/>
        <v>23949.99</v>
      </c>
      <c r="V292" t="str">
        <f t="shared" si="29"/>
        <v>Normal</v>
      </c>
      <c r="W292" t="str" cm="1">
        <f t="array" ref="W292">_xlfn.IFS(O292&gt;=7000,"Excellent",O292&gt;=4000,"Good",O292&lt;4000,"Average")</f>
        <v>Excellent</v>
      </c>
    </row>
    <row r="293" spans="1:23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4"/>
        <v>0</v>
      </c>
      <c r="Q293" s="1">
        <f t="shared" si="25"/>
        <v>6699.96</v>
      </c>
      <c r="R293" s="1" t="str">
        <f t="shared" si="26"/>
        <v>high</v>
      </c>
      <c r="S293" s="1" t="str" cm="1">
        <f t="array" ref="S293">_xlfn.IFS(L293&gt;5,"high",L293=5,"medium",L293&lt;5,"low")</f>
        <v>high</v>
      </c>
      <c r="T293" s="5" t="str">
        <f t="shared" si="27"/>
        <v>high</v>
      </c>
      <c r="U293" s="1">
        <f t="shared" si="28"/>
        <v>6699.9600000000009</v>
      </c>
      <c r="V293" t="str">
        <f t="shared" si="29"/>
        <v>Normal</v>
      </c>
      <c r="W293" t="str" cm="1">
        <f t="array" ref="W293">_xlfn.IFS(O293&gt;=7000,"Excellent",O293&gt;=4000,"Good",O293&lt;4000,"Average")</f>
        <v>Good</v>
      </c>
    </row>
    <row r="294" spans="1:23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4"/>
        <v>716.61800000000005</v>
      </c>
      <c r="Q294" s="1">
        <f t="shared" si="25"/>
        <v>6449.5619999999999</v>
      </c>
      <c r="R294" s="1" t="str">
        <f t="shared" si="26"/>
        <v>low</v>
      </c>
      <c r="S294" s="1" t="str" cm="1">
        <f t="array" ref="S294">_xlfn.IFS(L294&gt;5,"high",L294=5,"medium",L294&lt;5,"low")</f>
        <v>low</v>
      </c>
      <c r="T294" s="5" t="str">
        <f t="shared" si="27"/>
        <v>low</v>
      </c>
      <c r="U294" s="1">
        <f t="shared" si="28"/>
        <v>7962.42</v>
      </c>
      <c r="V294" t="str">
        <f t="shared" si="29"/>
        <v>Normal</v>
      </c>
      <c r="W294" t="str" cm="1">
        <f t="array" ref="W294">_xlfn.IFS(O294&gt;=7000,"Excellent",O294&gt;=4000,"Good",O294&lt;4000,"Average")</f>
        <v>Excellent</v>
      </c>
    </row>
    <row r="295" spans="1:23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4"/>
        <v>0</v>
      </c>
      <c r="Q295" s="1">
        <f t="shared" si="25"/>
        <v>2902.47</v>
      </c>
      <c r="R295" s="1" t="str">
        <f t="shared" si="26"/>
        <v>low</v>
      </c>
      <c r="S295" s="1" t="str" cm="1">
        <f t="array" ref="S295">_xlfn.IFS(L295&gt;5,"high",L295=5,"medium",L295&lt;5,"low")</f>
        <v>low</v>
      </c>
      <c r="T295" s="5" t="str">
        <f t="shared" si="27"/>
        <v>low</v>
      </c>
      <c r="U295" s="1">
        <f t="shared" si="28"/>
        <v>2902.4700000000003</v>
      </c>
      <c r="V295" t="str">
        <f t="shared" si="29"/>
        <v>Normal</v>
      </c>
      <c r="W295" t="str" cm="1">
        <f t="array" ref="W295">_xlfn.IFS(O295&gt;=7000,"Excellent",O295&gt;=4000,"Good",O295&lt;4000,"Average")</f>
        <v>Average</v>
      </c>
    </row>
    <row r="296" spans="1:23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4"/>
        <v>0</v>
      </c>
      <c r="Q296" s="1">
        <f t="shared" si="25"/>
        <v>619.73</v>
      </c>
      <c r="R296" s="1" t="str">
        <f t="shared" si="26"/>
        <v>low</v>
      </c>
      <c r="S296" s="1" t="str" cm="1">
        <f t="array" ref="S296">_xlfn.IFS(L296&gt;5,"high",L296=5,"medium",L296&lt;5,"low")</f>
        <v>low</v>
      </c>
      <c r="T296" s="5" t="str">
        <f t="shared" si="27"/>
        <v>low</v>
      </c>
      <c r="U296" s="1">
        <f t="shared" si="28"/>
        <v>619.73</v>
      </c>
      <c r="V296" t="str">
        <f t="shared" si="29"/>
        <v>Normal</v>
      </c>
      <c r="W296" t="str" cm="1">
        <f t="array" ref="W296">_xlfn.IFS(O296&gt;=7000,"Excellent",O296&gt;=4000,"Good",O296&lt;4000,"Average")</f>
        <v>Average</v>
      </c>
    </row>
    <row r="297" spans="1:23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4"/>
        <v>676.95350000000008</v>
      </c>
      <c r="Q297" s="1">
        <f t="shared" si="25"/>
        <v>12862.1165</v>
      </c>
      <c r="R297" s="1" t="str">
        <f t="shared" si="26"/>
        <v>high</v>
      </c>
      <c r="S297" s="1" t="str" cm="1">
        <f t="array" ref="S297">_xlfn.IFS(L297&gt;5,"high",L297=5,"medium",L297&lt;5,"low")</f>
        <v>medium</v>
      </c>
      <c r="T297" s="5" t="str">
        <f t="shared" si="27"/>
        <v>medium</v>
      </c>
      <c r="U297" s="1">
        <f t="shared" si="28"/>
        <v>14251.65</v>
      </c>
      <c r="V297" t="str">
        <f t="shared" si="29"/>
        <v>Normal</v>
      </c>
      <c r="W297" t="str" cm="1">
        <f t="array" ref="W297">_xlfn.IFS(O297&gt;=7000,"Excellent",O297&gt;=4000,"Good",O297&lt;4000,"Average")</f>
        <v>Excellent</v>
      </c>
    </row>
    <row r="298" spans="1:23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4"/>
        <v>211.23000000000002</v>
      </c>
      <c r="Q298" s="1">
        <f t="shared" si="25"/>
        <v>1901.0700000000002</v>
      </c>
      <c r="R298" s="1" t="str">
        <f t="shared" si="26"/>
        <v>low</v>
      </c>
      <c r="S298" s="1" t="str" cm="1">
        <f t="array" ref="S298">_xlfn.IFS(L298&gt;5,"high",L298=5,"medium",L298&lt;5,"low")</f>
        <v>low</v>
      </c>
      <c r="T298" s="5" t="str">
        <f t="shared" si="27"/>
        <v>low</v>
      </c>
      <c r="U298" s="1">
        <f t="shared" si="28"/>
        <v>2347</v>
      </c>
      <c r="V298" t="str">
        <f t="shared" si="29"/>
        <v>Normal</v>
      </c>
      <c r="W298" t="str" cm="1">
        <f t="array" ref="W298">_xlfn.IFS(O298&gt;=7000,"Excellent",O298&gt;=4000,"Good",O298&lt;4000,"Average")</f>
        <v>Average</v>
      </c>
    </row>
    <row r="299" spans="1:23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4"/>
        <v>0</v>
      </c>
      <c r="Q299" s="1">
        <f t="shared" si="25"/>
        <v>35892.9</v>
      </c>
      <c r="R299" s="1" t="str">
        <f t="shared" si="26"/>
        <v>high</v>
      </c>
      <c r="S299" s="1" t="str" cm="1">
        <f t="array" ref="S299">_xlfn.IFS(L299&gt;5,"high",L299=5,"medium",L299&lt;5,"low")</f>
        <v>high</v>
      </c>
      <c r="T299" s="5" t="str">
        <f t="shared" si="27"/>
        <v>high</v>
      </c>
      <c r="U299" s="1">
        <f t="shared" si="28"/>
        <v>35892.9</v>
      </c>
      <c r="V299" t="str">
        <f t="shared" si="29"/>
        <v>Normal</v>
      </c>
      <c r="W299" t="str" cm="1">
        <f t="array" ref="W299">_xlfn.IFS(O299&gt;=7000,"Excellent",O299&gt;=4000,"Good",O299&lt;4000,"Average")</f>
        <v>Excellent</v>
      </c>
    </row>
    <row r="300" spans="1:23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4"/>
        <v>366.06400000000002</v>
      </c>
      <c r="Q300" s="1">
        <f t="shared" si="25"/>
        <v>6955.2159999999994</v>
      </c>
      <c r="R300" s="1" t="str">
        <f t="shared" si="26"/>
        <v>high</v>
      </c>
      <c r="S300" s="1" t="str" cm="1">
        <f t="array" ref="S300">_xlfn.IFS(L300&gt;5,"high",L300=5,"medium",L300&lt;5,"low")</f>
        <v>high</v>
      </c>
      <c r="T300" s="5" t="str">
        <f t="shared" si="27"/>
        <v>high</v>
      </c>
      <c r="U300" s="1">
        <f t="shared" si="28"/>
        <v>7706.61</v>
      </c>
      <c r="V300" t="str">
        <f t="shared" si="29"/>
        <v>Normal</v>
      </c>
      <c r="W300" t="str" cm="1">
        <f t="array" ref="W300">_xlfn.IFS(O300&gt;=7000,"Excellent",O300&gt;=4000,"Good",O300&lt;4000,"Average")</f>
        <v>Excellent</v>
      </c>
    </row>
    <row r="301" spans="1:23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4"/>
        <v>1553.874</v>
      </c>
      <c r="Q301" s="1">
        <f t="shared" si="25"/>
        <v>8805.2860000000001</v>
      </c>
      <c r="R301" s="1" t="str">
        <f t="shared" si="26"/>
        <v>high</v>
      </c>
      <c r="S301" s="1" t="str" cm="1">
        <f t="array" ref="S301">_xlfn.IFS(L301&gt;5,"high",L301=5,"medium",L301&lt;5,"low")</f>
        <v>medium</v>
      </c>
      <c r="T301" s="5" t="str">
        <f t="shared" si="27"/>
        <v>medium</v>
      </c>
      <c r="U301" s="1">
        <f t="shared" si="28"/>
        <v>12187.25</v>
      </c>
      <c r="V301" t="str">
        <f t="shared" si="29"/>
        <v>Heavy</v>
      </c>
      <c r="W301" t="str" cm="1">
        <f t="array" ref="W301">_xlfn.IFS(O301&gt;=7000,"Excellent",O301&gt;=4000,"Good",O301&lt;4000,"Average")</f>
        <v>Excellent</v>
      </c>
    </row>
    <row r="302" spans="1:23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4"/>
        <v>329.42</v>
      </c>
      <c r="Q302" s="1">
        <f t="shared" si="25"/>
        <v>6258.98</v>
      </c>
      <c r="R302" s="1" t="str">
        <f t="shared" si="26"/>
        <v>low</v>
      </c>
      <c r="S302" s="1" t="str" cm="1">
        <f t="array" ref="S302">_xlfn.IFS(L302&gt;5,"high",L302=5,"medium",L302&lt;5,"low")</f>
        <v>low</v>
      </c>
      <c r="T302" s="5" t="str">
        <f t="shared" si="27"/>
        <v>low</v>
      </c>
      <c r="U302" s="1">
        <f t="shared" si="28"/>
        <v>6935.16</v>
      </c>
      <c r="V302" t="str">
        <f t="shared" si="29"/>
        <v>Normal</v>
      </c>
      <c r="W302" t="str" cm="1">
        <f t="array" ref="W302">_xlfn.IFS(O302&gt;=7000,"Excellent",O302&gt;=4000,"Good",O302&lt;4000,"Average")</f>
        <v>Good</v>
      </c>
    </row>
    <row r="303" spans="1:23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4"/>
        <v>211.666</v>
      </c>
      <c r="Q303" s="1">
        <f t="shared" si="25"/>
        <v>4021.6539999999995</v>
      </c>
      <c r="R303" s="1" t="str">
        <f t="shared" si="26"/>
        <v>high</v>
      </c>
      <c r="S303" s="1" t="str" cm="1">
        <f t="array" ref="S303">_xlfn.IFS(L303&gt;5,"high",L303=5,"medium",L303&lt;5,"low")</f>
        <v>high</v>
      </c>
      <c r="T303" s="5" t="str">
        <f t="shared" si="27"/>
        <v>high</v>
      </c>
      <c r="U303" s="1">
        <f t="shared" si="28"/>
        <v>4456.13</v>
      </c>
      <c r="V303" t="str">
        <f t="shared" si="29"/>
        <v>Normal</v>
      </c>
      <c r="W303" t="str" cm="1">
        <f t="array" ref="W303">_xlfn.IFS(O303&gt;=7000,"Excellent",O303&gt;=4000,"Good",O303&lt;4000,"Average")</f>
        <v>Good</v>
      </c>
    </row>
    <row r="304" spans="1:23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4"/>
        <v>0</v>
      </c>
      <c r="Q304" s="1">
        <f t="shared" si="25"/>
        <v>1543.2</v>
      </c>
      <c r="R304" s="1" t="str">
        <f t="shared" si="26"/>
        <v>high</v>
      </c>
      <c r="S304" s="1" t="str" cm="1">
        <f t="array" ref="S304">_xlfn.IFS(L304&gt;5,"high",L304=5,"medium",L304&lt;5,"low")</f>
        <v>high</v>
      </c>
      <c r="T304" s="5" t="str">
        <f t="shared" si="27"/>
        <v>high</v>
      </c>
      <c r="U304" s="1">
        <f t="shared" si="28"/>
        <v>1543.1999999999998</v>
      </c>
      <c r="V304" t="str">
        <f t="shared" si="29"/>
        <v>Normal</v>
      </c>
      <c r="W304" t="str" cm="1">
        <f t="array" ref="W304">_xlfn.IFS(O304&gt;=7000,"Excellent",O304&gt;=4000,"Good",O304&lt;4000,"Average")</f>
        <v>Average</v>
      </c>
    </row>
    <row r="305" spans="1:23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4"/>
        <v>1630.4120000000003</v>
      </c>
      <c r="Q305" s="1">
        <f t="shared" si="25"/>
        <v>6521.6480000000001</v>
      </c>
      <c r="R305" s="1" t="str">
        <f t="shared" si="26"/>
        <v>low</v>
      </c>
      <c r="S305" s="1" t="str" cm="1">
        <f t="array" ref="S305">_xlfn.IFS(L305&gt;5,"high",L305=5,"medium",L305&lt;5,"low")</f>
        <v>low</v>
      </c>
      <c r="T305" s="5" t="str">
        <f t="shared" si="27"/>
        <v>low</v>
      </c>
      <c r="U305" s="1">
        <f t="shared" si="28"/>
        <v>10190.08</v>
      </c>
      <c r="V305" t="str">
        <f t="shared" si="29"/>
        <v>Heavy</v>
      </c>
      <c r="W305" t="str" cm="1">
        <f t="array" ref="W305">_xlfn.IFS(O305&gt;=7000,"Excellent",O305&gt;=4000,"Good",O305&lt;4000,"Average")</f>
        <v>Excellent</v>
      </c>
    </row>
    <row r="306" spans="1:23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4"/>
        <v>1041.9260000000002</v>
      </c>
      <c r="Q306" s="1">
        <f t="shared" si="25"/>
        <v>4167.7039999999997</v>
      </c>
      <c r="R306" s="1" t="str">
        <f t="shared" si="26"/>
        <v>low</v>
      </c>
      <c r="S306" s="1" t="str" cm="1">
        <f t="array" ref="S306">_xlfn.IFS(L306&gt;5,"high",L306=5,"medium",L306&lt;5,"low")</f>
        <v>low</v>
      </c>
      <c r="T306" s="5" t="str">
        <f t="shared" si="27"/>
        <v>low</v>
      </c>
      <c r="U306" s="1">
        <f t="shared" si="28"/>
        <v>6512.04</v>
      </c>
      <c r="V306" t="str">
        <f t="shared" si="29"/>
        <v>Heavy</v>
      </c>
      <c r="W306" t="str" cm="1">
        <f t="array" ref="W306">_xlfn.IFS(O306&gt;=7000,"Excellent",O306&gt;=4000,"Good",O306&lt;4000,"Average")</f>
        <v>Good</v>
      </c>
    </row>
    <row r="307" spans="1:23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4"/>
        <v>542.68200000000002</v>
      </c>
      <c r="Q307" s="1">
        <f t="shared" si="25"/>
        <v>2170.7280000000001</v>
      </c>
      <c r="R307" s="1" t="str">
        <f t="shared" si="26"/>
        <v>low</v>
      </c>
      <c r="S307" s="1" t="str" cm="1">
        <f t="array" ref="S307">_xlfn.IFS(L307&gt;5,"high",L307=5,"medium",L307&lt;5,"low")</f>
        <v>low</v>
      </c>
      <c r="T307" s="5" t="str">
        <f t="shared" si="27"/>
        <v>low</v>
      </c>
      <c r="U307" s="1">
        <f t="shared" si="28"/>
        <v>3391.76</v>
      </c>
      <c r="V307" t="str">
        <f t="shared" si="29"/>
        <v>Heavy</v>
      </c>
      <c r="W307" t="str" cm="1">
        <f t="array" ref="W307">_xlfn.IFS(O307&gt;=7000,"Excellent",O307&gt;=4000,"Good",O307&lt;4000,"Average")</f>
        <v>Average</v>
      </c>
    </row>
    <row r="308" spans="1:23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4"/>
        <v>381.60550000000001</v>
      </c>
      <c r="Q308" s="1">
        <f t="shared" si="25"/>
        <v>7250.5045</v>
      </c>
      <c r="R308" s="1" t="str">
        <f t="shared" si="26"/>
        <v>low</v>
      </c>
      <c r="S308" s="1" t="str" cm="1">
        <f t="array" ref="S308">_xlfn.IFS(L308&gt;5,"high",L308=5,"medium",L308&lt;5,"low")</f>
        <v>low</v>
      </c>
      <c r="T308" s="5" t="str">
        <f t="shared" si="27"/>
        <v>low</v>
      </c>
      <c r="U308" s="1">
        <f t="shared" si="28"/>
        <v>8033.8</v>
      </c>
      <c r="V308" t="str">
        <f t="shared" si="29"/>
        <v>Normal</v>
      </c>
      <c r="W308" t="str" cm="1">
        <f t="array" ref="W308">_xlfn.IFS(O308&gt;=7000,"Excellent",O308&gt;=4000,"Good",O308&lt;4000,"Average")</f>
        <v>Excellent</v>
      </c>
    </row>
    <row r="309" spans="1:23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4"/>
        <v>0</v>
      </c>
      <c r="Q309" s="1">
        <f t="shared" si="25"/>
        <v>12572.8</v>
      </c>
      <c r="R309" s="1" t="str">
        <f t="shared" si="26"/>
        <v>low</v>
      </c>
      <c r="S309" s="1" t="str" cm="1">
        <f t="array" ref="S309">_xlfn.IFS(L309&gt;5,"high",L309=5,"medium",L309&lt;5,"low")</f>
        <v>low</v>
      </c>
      <c r="T309" s="5" t="str">
        <f t="shared" si="27"/>
        <v>low</v>
      </c>
      <c r="U309" s="1">
        <f t="shared" si="28"/>
        <v>12572.8</v>
      </c>
      <c r="V309" t="str">
        <f t="shared" si="29"/>
        <v>Normal</v>
      </c>
      <c r="W309" t="str" cm="1">
        <f t="array" ref="W309">_xlfn.IFS(O309&gt;=7000,"Excellent",O309&gt;=4000,"Good",O309&lt;4000,"Average")</f>
        <v>Excellent</v>
      </c>
    </row>
    <row r="310" spans="1:23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4"/>
        <v>246.64099999999999</v>
      </c>
      <c r="Q310" s="1">
        <f t="shared" si="25"/>
        <v>2219.7689999999998</v>
      </c>
      <c r="R310" s="1" t="str">
        <f t="shared" si="26"/>
        <v>low</v>
      </c>
      <c r="S310" s="1" t="str" cm="1">
        <f t="array" ref="S310">_xlfn.IFS(L310&gt;5,"high",L310=5,"medium",L310&lt;5,"low")</f>
        <v>low</v>
      </c>
      <c r="T310" s="5" t="str">
        <f t="shared" si="27"/>
        <v>low</v>
      </c>
      <c r="U310" s="1">
        <f t="shared" si="28"/>
        <v>2740.46</v>
      </c>
      <c r="V310" t="str">
        <f t="shared" si="29"/>
        <v>Normal</v>
      </c>
      <c r="W310" t="str" cm="1">
        <f t="array" ref="W310">_xlfn.IFS(O310&gt;=7000,"Excellent",O310&gt;=4000,"Good",O310&lt;4000,"Average")</f>
        <v>Average</v>
      </c>
    </row>
    <row r="311" spans="1:23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4"/>
        <v>837.43850000000009</v>
      </c>
      <c r="Q311" s="1">
        <f t="shared" si="25"/>
        <v>15911.3315</v>
      </c>
      <c r="R311" s="1" t="str">
        <f t="shared" si="26"/>
        <v>high</v>
      </c>
      <c r="S311" s="1" t="str" cm="1">
        <f t="array" ref="S311">_xlfn.IFS(L311&gt;5,"high",L311=5,"medium",L311&lt;5,"low")</f>
        <v>high</v>
      </c>
      <c r="T311" s="5" t="str">
        <f t="shared" si="27"/>
        <v>high</v>
      </c>
      <c r="U311" s="1">
        <f t="shared" si="28"/>
        <v>17630.28</v>
      </c>
      <c r="V311" t="str">
        <f t="shared" si="29"/>
        <v>Normal</v>
      </c>
      <c r="W311" t="str" cm="1">
        <f t="array" ref="W311">_xlfn.IFS(O311&gt;=7000,"Excellent",O311&gt;=4000,"Good",O311&lt;4000,"Average")</f>
        <v>Excellent</v>
      </c>
    </row>
    <row r="312" spans="1:23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4"/>
        <v>388.83699999999999</v>
      </c>
      <c r="Q312" s="1">
        <f t="shared" si="25"/>
        <v>7387.9030000000002</v>
      </c>
      <c r="R312" s="1" t="str">
        <f t="shared" si="26"/>
        <v>low</v>
      </c>
      <c r="S312" s="1" t="str" cm="1">
        <f t="array" ref="S312">_xlfn.IFS(L312&gt;5,"high",L312=5,"medium",L312&lt;5,"low")</f>
        <v>low</v>
      </c>
      <c r="T312" s="5" t="str">
        <f t="shared" si="27"/>
        <v>low</v>
      </c>
      <c r="U312" s="1">
        <f t="shared" si="28"/>
        <v>8186.04</v>
      </c>
      <c r="V312" t="str">
        <f t="shared" si="29"/>
        <v>Normal</v>
      </c>
      <c r="W312" t="str" cm="1">
        <f t="array" ref="W312">_xlfn.IFS(O312&gt;=7000,"Excellent",O312&gt;=4000,"Good",O312&lt;4000,"Average")</f>
        <v>Excellent</v>
      </c>
    </row>
    <row r="313" spans="1:23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4"/>
        <v>0</v>
      </c>
      <c r="Q313" s="1">
        <f t="shared" si="25"/>
        <v>2588.64</v>
      </c>
      <c r="R313" s="1" t="str">
        <f t="shared" si="26"/>
        <v>low</v>
      </c>
      <c r="S313" s="1" t="str" cm="1">
        <f t="array" ref="S313">_xlfn.IFS(L313&gt;5,"high",L313=5,"medium",L313&lt;5,"low")</f>
        <v>low</v>
      </c>
      <c r="T313" s="5" t="str">
        <f t="shared" si="27"/>
        <v>low</v>
      </c>
      <c r="U313" s="1">
        <f t="shared" si="28"/>
        <v>2588.64</v>
      </c>
      <c r="V313" t="str">
        <f t="shared" si="29"/>
        <v>Normal</v>
      </c>
      <c r="W313" t="str" cm="1">
        <f t="array" ref="W313">_xlfn.IFS(O313&gt;=7000,"Excellent",O313&gt;=4000,"Good",O313&lt;4000,"Average")</f>
        <v>Average</v>
      </c>
    </row>
    <row r="314" spans="1:23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4"/>
        <v>414.53699999999998</v>
      </c>
      <c r="Q314" s="1">
        <f t="shared" si="25"/>
        <v>2349.0430000000001</v>
      </c>
      <c r="R314" s="1" t="str">
        <f t="shared" si="26"/>
        <v>low</v>
      </c>
      <c r="S314" s="1" t="str" cm="1">
        <f t="array" ref="S314">_xlfn.IFS(L314&gt;5,"high",L314=5,"medium",L314&lt;5,"low")</f>
        <v>low</v>
      </c>
      <c r="T314" s="5" t="str">
        <f t="shared" si="27"/>
        <v>low</v>
      </c>
      <c r="U314" s="1">
        <f t="shared" si="28"/>
        <v>3251.27</v>
      </c>
      <c r="V314" t="str">
        <f t="shared" si="29"/>
        <v>Heavy</v>
      </c>
      <c r="W314" t="str" cm="1">
        <f t="array" ref="W314">_xlfn.IFS(O314&gt;=7000,"Excellent",O314&gt;=4000,"Good",O314&lt;4000,"Average")</f>
        <v>Average</v>
      </c>
    </row>
    <row r="315" spans="1:23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4"/>
        <v>79.888000000000005</v>
      </c>
      <c r="Q315" s="1">
        <f t="shared" si="25"/>
        <v>1517.8720000000001</v>
      </c>
      <c r="R315" s="1" t="str">
        <f t="shared" si="26"/>
        <v>low</v>
      </c>
      <c r="S315" s="1" t="str" cm="1">
        <f t="array" ref="S315">_xlfn.IFS(L315&gt;5,"high",L315=5,"medium",L315&lt;5,"low")</f>
        <v>low</v>
      </c>
      <c r="T315" s="5" t="str">
        <f t="shared" si="27"/>
        <v>low</v>
      </c>
      <c r="U315" s="1">
        <f t="shared" si="28"/>
        <v>1681.85</v>
      </c>
      <c r="V315" t="str">
        <f t="shared" si="29"/>
        <v>Normal</v>
      </c>
      <c r="W315" t="str" cm="1">
        <f t="array" ref="W315">_xlfn.IFS(O315&gt;=7000,"Excellent",O315&gt;=4000,"Good",O315&lt;4000,"Average")</f>
        <v>Average</v>
      </c>
    </row>
    <row r="316" spans="1:23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4"/>
        <v>3318.0810000000001</v>
      </c>
      <c r="Q316" s="1">
        <f t="shared" si="25"/>
        <v>18802.459000000003</v>
      </c>
      <c r="R316" s="1" t="str">
        <f t="shared" si="26"/>
        <v>high</v>
      </c>
      <c r="S316" s="1" t="str" cm="1">
        <f t="array" ref="S316">_xlfn.IFS(L316&gt;5,"high",L316=5,"medium",L316&lt;5,"low")</f>
        <v>high</v>
      </c>
      <c r="T316" s="5" t="str">
        <f t="shared" si="27"/>
        <v>high</v>
      </c>
      <c r="U316" s="1">
        <f t="shared" si="28"/>
        <v>26024.16</v>
      </c>
      <c r="V316" t="str">
        <f t="shared" si="29"/>
        <v>Heavy</v>
      </c>
      <c r="W316" t="str" cm="1">
        <f t="array" ref="W316">_xlfn.IFS(O316&gt;=7000,"Excellent",O316&gt;=4000,"Good",O316&lt;4000,"Average")</f>
        <v>Excellent</v>
      </c>
    </row>
    <row r="317" spans="1:23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4"/>
        <v>2477.8454999999999</v>
      </c>
      <c r="Q317" s="1">
        <f t="shared" si="25"/>
        <v>14041.124500000002</v>
      </c>
      <c r="R317" s="1" t="str">
        <f t="shared" si="26"/>
        <v>high</v>
      </c>
      <c r="S317" s="1" t="str" cm="1">
        <f t="array" ref="S317">_xlfn.IFS(L317&gt;5,"high",L317=5,"medium",L317&lt;5,"low")</f>
        <v>high</v>
      </c>
      <c r="T317" s="5" t="str">
        <f t="shared" si="27"/>
        <v>high</v>
      </c>
      <c r="U317" s="1">
        <f t="shared" si="28"/>
        <v>19434.080000000002</v>
      </c>
      <c r="V317" t="str">
        <f t="shared" si="29"/>
        <v>Heavy</v>
      </c>
      <c r="W317" t="str" cm="1">
        <f t="array" ref="W317">_xlfn.IFS(O317&gt;=7000,"Excellent",O317&gt;=4000,"Good",O317&lt;4000,"Average")</f>
        <v>Excellent</v>
      </c>
    </row>
    <row r="318" spans="1:23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4"/>
        <v>252.39000000000001</v>
      </c>
      <c r="Q318" s="1">
        <f t="shared" si="25"/>
        <v>1009.5600000000001</v>
      </c>
      <c r="R318" s="1" t="str">
        <f t="shared" si="26"/>
        <v>low</v>
      </c>
      <c r="S318" s="1" t="str" cm="1">
        <f t="array" ref="S318">_xlfn.IFS(L318&gt;5,"high",L318=5,"medium",L318&lt;5,"low")</f>
        <v>low</v>
      </c>
      <c r="T318" s="5" t="str">
        <f t="shared" si="27"/>
        <v>low</v>
      </c>
      <c r="U318" s="1">
        <f t="shared" si="28"/>
        <v>1577.44</v>
      </c>
      <c r="V318" t="str">
        <f t="shared" si="29"/>
        <v>Heavy</v>
      </c>
      <c r="W318" t="str" cm="1">
        <f t="array" ref="W318">_xlfn.IFS(O318&gt;=7000,"Excellent",O318&gt;=4000,"Good",O318&lt;4000,"Average")</f>
        <v>Average</v>
      </c>
    </row>
    <row r="319" spans="1:23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4"/>
        <v>0</v>
      </c>
      <c r="Q319" s="1">
        <f t="shared" si="25"/>
        <v>1715.21</v>
      </c>
      <c r="R319" s="1" t="str">
        <f t="shared" si="26"/>
        <v>high</v>
      </c>
      <c r="S319" s="1" t="str" cm="1">
        <f t="array" ref="S319">_xlfn.IFS(L319&gt;5,"high",L319=5,"medium",L319&lt;5,"low")</f>
        <v>high</v>
      </c>
      <c r="T319" s="5" t="str">
        <f t="shared" si="27"/>
        <v>high</v>
      </c>
      <c r="U319" s="1">
        <f t="shared" si="28"/>
        <v>1715.21</v>
      </c>
      <c r="V319" t="str">
        <f t="shared" si="29"/>
        <v>Normal</v>
      </c>
      <c r="W319" t="str" cm="1">
        <f t="array" ref="W319">_xlfn.IFS(O319&gt;=7000,"Excellent",O319&gt;=4000,"Good",O319&lt;4000,"Average")</f>
        <v>Average</v>
      </c>
    </row>
    <row r="320" spans="1:23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4"/>
        <v>1577.5319999999999</v>
      </c>
      <c r="Q320" s="1">
        <f t="shared" si="25"/>
        <v>8939.348</v>
      </c>
      <c r="R320" s="1" t="str">
        <f t="shared" si="26"/>
        <v>high</v>
      </c>
      <c r="S320" s="1" t="str" cm="1">
        <f t="array" ref="S320">_xlfn.IFS(L320&gt;5,"high",L320=5,"medium",L320&lt;5,"low")</f>
        <v>high</v>
      </c>
      <c r="T320" s="5" t="str">
        <f t="shared" si="27"/>
        <v>high</v>
      </c>
      <c r="U320" s="1">
        <f t="shared" si="28"/>
        <v>12372.8</v>
      </c>
      <c r="V320" t="str">
        <f t="shared" si="29"/>
        <v>Heavy</v>
      </c>
      <c r="W320" t="str" cm="1">
        <f t="array" ref="W320">_xlfn.IFS(O320&gt;=7000,"Excellent",O320&gt;=4000,"Good",O320&lt;4000,"Average")</f>
        <v>Excellent</v>
      </c>
    </row>
    <row r="321" spans="1:23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4"/>
        <v>0</v>
      </c>
      <c r="Q321" s="1">
        <f t="shared" si="25"/>
        <v>18038.240000000002</v>
      </c>
      <c r="R321" s="1" t="str">
        <f t="shared" si="26"/>
        <v>high</v>
      </c>
      <c r="S321" s="1" t="str" cm="1">
        <f t="array" ref="S321">_xlfn.IFS(L321&gt;5,"high",L321=5,"medium",L321&lt;5,"low")</f>
        <v>high</v>
      </c>
      <c r="T321" s="5" t="str">
        <f t="shared" si="27"/>
        <v>high</v>
      </c>
      <c r="U321" s="1">
        <f t="shared" si="28"/>
        <v>18038.240000000002</v>
      </c>
      <c r="V321" t="str">
        <f t="shared" si="29"/>
        <v>Normal</v>
      </c>
      <c r="W321" t="str" cm="1">
        <f t="array" ref="W321">_xlfn.IFS(O321&gt;=7000,"Excellent",O321&gt;=4000,"Good",O321&lt;4000,"Average")</f>
        <v>Excellent</v>
      </c>
    </row>
    <row r="322" spans="1:23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4"/>
        <v>3789.3080000000004</v>
      </c>
      <c r="Q322" s="1">
        <f t="shared" si="25"/>
        <v>15157.232</v>
      </c>
      <c r="R322" s="1" t="str">
        <f t="shared" si="26"/>
        <v>high</v>
      </c>
      <c r="S322" s="1" t="str" cm="1">
        <f t="array" ref="S322">_xlfn.IFS(L322&gt;5,"high",L322=5,"medium",L322&lt;5,"low")</f>
        <v>high</v>
      </c>
      <c r="T322" s="5" t="str">
        <f t="shared" si="27"/>
        <v>high</v>
      </c>
      <c r="U322" s="1">
        <f t="shared" si="28"/>
        <v>23683.17</v>
      </c>
      <c r="V322" t="str">
        <f t="shared" si="29"/>
        <v>Heavy</v>
      </c>
      <c r="W322" t="str" cm="1">
        <f t="array" ref="W322">_xlfn.IFS(O322&gt;=7000,"Excellent",O322&gt;=4000,"Good",O322&lt;4000,"Average")</f>
        <v>Excellent</v>
      </c>
    </row>
    <row r="323" spans="1:23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30">O323*N323%</f>
        <v>0</v>
      </c>
      <c r="Q323" s="1">
        <f t="shared" ref="Q323:Q386" si="31">O323-P323</f>
        <v>3204.1</v>
      </c>
      <c r="R323" s="1" t="str">
        <f t="shared" ref="R323:R386" si="32">IF(L323&gt;=5,"high","low")</f>
        <v>high</v>
      </c>
      <c r="S323" s="1" t="str" cm="1">
        <f t="array" ref="S323">_xlfn.IFS(L323&gt;5,"high",L323=5,"medium",L323&lt;5,"low")</f>
        <v>medium</v>
      </c>
      <c r="T323" s="5" t="str">
        <f t="shared" ref="T323:T386" si="33">IF(L323&gt;5,"high",IF(L323=5,"medium","low"))</f>
        <v>medium</v>
      </c>
      <c r="U323" s="1">
        <f t="shared" ref="U323:U386" si="34">L323*M323</f>
        <v>3204.1000000000004</v>
      </c>
      <c r="V323" t="str">
        <f t="shared" ref="V323:V386" si="35">IF(N323&gt;10,"Heavy","Normal")</f>
        <v>Normal</v>
      </c>
      <c r="W323" t="str" cm="1">
        <f t="array" ref="W323">_xlfn.IFS(O323&gt;=7000,"Excellent",O323&gt;=4000,"Good",O323&lt;4000,"Average")</f>
        <v>Average</v>
      </c>
    </row>
    <row r="324" spans="1:23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30"/>
        <v>153.46250000000001</v>
      </c>
      <c r="Q324" s="1">
        <f t="shared" si="31"/>
        <v>2915.7874999999999</v>
      </c>
      <c r="R324" s="1" t="str">
        <f t="shared" si="32"/>
        <v>low</v>
      </c>
      <c r="S324" s="1" t="str" cm="1">
        <f t="array" ref="S324">_xlfn.IFS(L324&gt;5,"high",L324=5,"medium",L324&lt;5,"low")</f>
        <v>low</v>
      </c>
      <c r="T324" s="5" t="str">
        <f t="shared" si="33"/>
        <v>low</v>
      </c>
      <c r="U324" s="1">
        <f t="shared" si="34"/>
        <v>3230.79</v>
      </c>
      <c r="V324" t="str">
        <f t="shared" si="35"/>
        <v>Normal</v>
      </c>
      <c r="W324" t="str" cm="1">
        <f t="array" ref="W324">_xlfn.IFS(O324&gt;=7000,"Excellent",O324&gt;=4000,"Good",O324&lt;4000,"Average")</f>
        <v>Average</v>
      </c>
    </row>
    <row r="325" spans="1:23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30"/>
        <v>3984.7860000000001</v>
      </c>
      <c r="Q325" s="1">
        <f t="shared" si="31"/>
        <v>22580.454000000002</v>
      </c>
      <c r="R325" s="1" t="str">
        <f t="shared" si="32"/>
        <v>high</v>
      </c>
      <c r="S325" s="1" t="str" cm="1">
        <f t="array" ref="S325">_xlfn.IFS(L325&gt;5,"high",L325=5,"medium",L325&lt;5,"low")</f>
        <v>high</v>
      </c>
      <c r="T325" s="5" t="str">
        <f t="shared" si="33"/>
        <v>high</v>
      </c>
      <c r="U325" s="1">
        <f t="shared" si="34"/>
        <v>31253.22</v>
      </c>
      <c r="V325" t="str">
        <f t="shared" si="35"/>
        <v>Heavy</v>
      </c>
      <c r="W325" t="str" cm="1">
        <f t="array" ref="W325">_xlfn.IFS(O325&gt;=7000,"Excellent",O325&gt;=4000,"Good",O325&lt;4000,"Average")</f>
        <v>Excellent</v>
      </c>
    </row>
    <row r="326" spans="1:23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30"/>
        <v>0</v>
      </c>
      <c r="Q326" s="1">
        <f t="shared" si="31"/>
        <v>5111.05</v>
      </c>
      <c r="R326" s="1" t="str">
        <f t="shared" si="32"/>
        <v>high</v>
      </c>
      <c r="S326" s="1" t="str" cm="1">
        <f t="array" ref="S326">_xlfn.IFS(L326&gt;5,"high",L326=5,"medium",L326&lt;5,"low")</f>
        <v>high</v>
      </c>
      <c r="T326" s="5" t="str">
        <f t="shared" si="33"/>
        <v>high</v>
      </c>
      <c r="U326" s="1">
        <f t="shared" si="34"/>
        <v>5111.05</v>
      </c>
      <c r="V326" t="str">
        <f t="shared" si="35"/>
        <v>Normal</v>
      </c>
      <c r="W326" t="str" cm="1">
        <f t="array" ref="W326">_xlfn.IFS(O326&gt;=7000,"Excellent",O326&gt;=4000,"Good",O326&lt;4000,"Average")</f>
        <v>Good</v>
      </c>
    </row>
    <row r="327" spans="1:23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30"/>
        <v>617.15500000000009</v>
      </c>
      <c r="Q327" s="1">
        <f t="shared" si="31"/>
        <v>5554.3950000000004</v>
      </c>
      <c r="R327" s="1" t="str">
        <f t="shared" si="32"/>
        <v>low</v>
      </c>
      <c r="S327" s="1" t="str" cm="1">
        <f t="array" ref="S327">_xlfn.IFS(L327&gt;5,"high",L327=5,"medium",L327&lt;5,"low")</f>
        <v>low</v>
      </c>
      <c r="T327" s="5" t="str">
        <f t="shared" si="33"/>
        <v>low</v>
      </c>
      <c r="U327" s="1">
        <f t="shared" si="34"/>
        <v>6857.28</v>
      </c>
      <c r="V327" t="str">
        <f t="shared" si="35"/>
        <v>Normal</v>
      </c>
      <c r="W327" t="str" cm="1">
        <f t="array" ref="W327">_xlfn.IFS(O327&gt;=7000,"Excellent",O327&gt;=4000,"Good",O327&lt;4000,"Average")</f>
        <v>Good</v>
      </c>
    </row>
    <row r="328" spans="1:23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30"/>
        <v>0</v>
      </c>
      <c r="Q328" s="1">
        <f t="shared" si="31"/>
        <v>23802.6</v>
      </c>
      <c r="R328" s="1" t="str">
        <f t="shared" si="32"/>
        <v>high</v>
      </c>
      <c r="S328" s="1" t="str" cm="1">
        <f t="array" ref="S328">_xlfn.IFS(L328&gt;5,"high",L328=5,"medium",L328&lt;5,"low")</f>
        <v>high</v>
      </c>
      <c r="T328" s="5" t="str">
        <f t="shared" si="33"/>
        <v>high</v>
      </c>
      <c r="U328" s="1">
        <f t="shared" si="34"/>
        <v>23802.6</v>
      </c>
      <c r="V328" t="str">
        <f t="shared" si="35"/>
        <v>Normal</v>
      </c>
      <c r="W328" t="str" cm="1">
        <f t="array" ref="W328">_xlfn.IFS(O328&gt;=7000,"Excellent",O328&gt;=4000,"Good",O328&lt;4000,"Average")</f>
        <v>Excellent</v>
      </c>
    </row>
    <row r="329" spans="1:23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30"/>
        <v>751.82399999999996</v>
      </c>
      <c r="Q329" s="1">
        <f t="shared" si="31"/>
        <v>4260.3360000000002</v>
      </c>
      <c r="R329" s="1" t="str">
        <f t="shared" si="32"/>
        <v>low</v>
      </c>
      <c r="S329" s="1" t="str" cm="1">
        <f t="array" ref="S329">_xlfn.IFS(L329&gt;5,"high",L329=5,"medium",L329&lt;5,"low")</f>
        <v>low</v>
      </c>
      <c r="T329" s="5" t="str">
        <f t="shared" si="33"/>
        <v>low</v>
      </c>
      <c r="U329" s="1">
        <f t="shared" si="34"/>
        <v>5896.66</v>
      </c>
      <c r="V329" t="str">
        <f t="shared" si="35"/>
        <v>Heavy</v>
      </c>
      <c r="W329" t="str" cm="1">
        <f t="array" ref="W329">_xlfn.IFS(O329&gt;=7000,"Excellent",O329&gt;=4000,"Good",O329&lt;4000,"Average")</f>
        <v>Good</v>
      </c>
    </row>
    <row r="330" spans="1:23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30"/>
        <v>507.41800000000006</v>
      </c>
      <c r="Q330" s="1">
        <f t="shared" si="31"/>
        <v>2029.672</v>
      </c>
      <c r="R330" s="1" t="str">
        <f t="shared" si="32"/>
        <v>low</v>
      </c>
      <c r="S330" s="1" t="str" cm="1">
        <f t="array" ref="S330">_xlfn.IFS(L330&gt;5,"high",L330=5,"medium",L330&lt;5,"low")</f>
        <v>low</v>
      </c>
      <c r="T330" s="5" t="str">
        <f t="shared" si="33"/>
        <v>low</v>
      </c>
      <c r="U330" s="1">
        <f t="shared" si="34"/>
        <v>3171.36</v>
      </c>
      <c r="V330" t="str">
        <f t="shared" si="35"/>
        <v>Heavy</v>
      </c>
      <c r="W330" t="str" cm="1">
        <f t="array" ref="W330">_xlfn.IFS(O330&gt;=7000,"Excellent",O330&gt;=4000,"Good",O330&lt;4000,"Average")</f>
        <v>Average</v>
      </c>
    </row>
    <row r="331" spans="1:23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30"/>
        <v>4455.92</v>
      </c>
      <c r="Q331" s="1">
        <f t="shared" si="31"/>
        <v>17823.68</v>
      </c>
      <c r="R331" s="1" t="str">
        <f t="shared" si="32"/>
        <v>high</v>
      </c>
      <c r="S331" s="1" t="str" cm="1">
        <f t="array" ref="S331">_xlfn.IFS(L331&gt;5,"high",L331=5,"medium",L331&lt;5,"low")</f>
        <v>high</v>
      </c>
      <c r="T331" s="5" t="str">
        <f t="shared" si="33"/>
        <v>high</v>
      </c>
      <c r="U331" s="1">
        <f t="shared" si="34"/>
        <v>27849.5</v>
      </c>
      <c r="V331" t="str">
        <f t="shared" si="35"/>
        <v>Heavy</v>
      </c>
      <c r="W331" t="str" cm="1">
        <f t="array" ref="W331">_xlfn.IFS(O331&gt;=7000,"Excellent",O331&gt;=4000,"Good",O331&lt;4000,"Average")</f>
        <v>Excellent</v>
      </c>
    </row>
    <row r="332" spans="1:23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30"/>
        <v>632.68049999999994</v>
      </c>
      <c r="Q332" s="1">
        <f t="shared" si="31"/>
        <v>3585.1895</v>
      </c>
      <c r="R332" s="1" t="str">
        <f t="shared" si="32"/>
        <v>low</v>
      </c>
      <c r="S332" s="1" t="str" cm="1">
        <f t="array" ref="S332">_xlfn.IFS(L332&gt;5,"high",L332=5,"medium",L332&lt;5,"low")</f>
        <v>low</v>
      </c>
      <c r="T332" s="5" t="str">
        <f t="shared" si="33"/>
        <v>low</v>
      </c>
      <c r="U332" s="1">
        <f t="shared" si="34"/>
        <v>4962.2</v>
      </c>
      <c r="V332" t="str">
        <f t="shared" si="35"/>
        <v>Heavy</v>
      </c>
      <c r="W332" t="str" cm="1">
        <f t="array" ref="W332">_xlfn.IFS(O332&gt;=7000,"Excellent",O332&gt;=4000,"Good",O332&lt;4000,"Average")</f>
        <v>Good</v>
      </c>
    </row>
    <row r="333" spans="1:23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30"/>
        <v>126.85899999999999</v>
      </c>
      <c r="Q333" s="1">
        <f t="shared" si="31"/>
        <v>2410.3209999999999</v>
      </c>
      <c r="R333" s="1" t="str">
        <f t="shared" si="32"/>
        <v>low</v>
      </c>
      <c r="S333" s="1" t="str" cm="1">
        <f t="array" ref="S333">_xlfn.IFS(L333&gt;5,"high",L333=5,"medium",L333&lt;5,"low")</f>
        <v>low</v>
      </c>
      <c r="T333" s="5" t="str">
        <f t="shared" si="33"/>
        <v>low</v>
      </c>
      <c r="U333" s="1">
        <f t="shared" si="34"/>
        <v>2670.72</v>
      </c>
      <c r="V333" t="str">
        <f t="shared" si="35"/>
        <v>Normal</v>
      </c>
      <c r="W333" t="str" cm="1">
        <f t="array" ref="W333">_xlfn.IFS(O333&gt;=7000,"Excellent",O333&gt;=4000,"Good",O333&lt;4000,"Average")</f>
        <v>Average</v>
      </c>
    </row>
    <row r="334" spans="1:23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30"/>
        <v>801.44150000000002</v>
      </c>
      <c r="Q334" s="1">
        <f t="shared" si="31"/>
        <v>15227.388499999999</v>
      </c>
      <c r="R334" s="1" t="str">
        <f t="shared" si="32"/>
        <v>high</v>
      </c>
      <c r="S334" s="1" t="str" cm="1">
        <f t="array" ref="S334">_xlfn.IFS(L334&gt;5,"high",L334=5,"medium",L334&lt;5,"low")</f>
        <v>medium</v>
      </c>
      <c r="T334" s="5" t="str">
        <f t="shared" si="33"/>
        <v>medium</v>
      </c>
      <c r="U334" s="1">
        <f t="shared" si="34"/>
        <v>16872.449999999997</v>
      </c>
      <c r="V334" t="str">
        <f t="shared" si="35"/>
        <v>Normal</v>
      </c>
      <c r="W334" t="str" cm="1">
        <f t="array" ref="W334">_xlfn.IFS(O334&gt;=7000,"Excellent",O334&gt;=4000,"Good",O334&lt;4000,"Average")</f>
        <v>Excellent</v>
      </c>
    </row>
    <row r="335" spans="1:23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30"/>
        <v>2012.616</v>
      </c>
      <c r="Q335" s="1">
        <f t="shared" si="31"/>
        <v>8050.4639999999999</v>
      </c>
      <c r="R335" s="1" t="str">
        <f t="shared" si="32"/>
        <v>high</v>
      </c>
      <c r="S335" s="1" t="str" cm="1">
        <f t="array" ref="S335">_xlfn.IFS(L335&gt;5,"high",L335=5,"medium",L335&lt;5,"low")</f>
        <v>medium</v>
      </c>
      <c r="T335" s="5" t="str">
        <f t="shared" si="33"/>
        <v>medium</v>
      </c>
      <c r="U335" s="1">
        <f t="shared" si="34"/>
        <v>12578.85</v>
      </c>
      <c r="V335" t="str">
        <f t="shared" si="35"/>
        <v>Heavy</v>
      </c>
      <c r="W335" t="str" cm="1">
        <f t="array" ref="W335">_xlfn.IFS(O335&gt;=7000,"Excellent",O335&gt;=4000,"Good",O335&lt;4000,"Average")</f>
        <v>Excellent</v>
      </c>
    </row>
    <row r="336" spans="1:23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30"/>
        <v>2674.1120000000001</v>
      </c>
      <c r="Q336" s="1">
        <f t="shared" si="31"/>
        <v>10696.448</v>
      </c>
      <c r="R336" s="1" t="str">
        <f t="shared" si="32"/>
        <v>high</v>
      </c>
      <c r="S336" s="1" t="str" cm="1">
        <f t="array" ref="S336">_xlfn.IFS(L336&gt;5,"high",L336=5,"medium",L336&lt;5,"low")</f>
        <v>high</v>
      </c>
      <c r="T336" s="5" t="str">
        <f t="shared" si="33"/>
        <v>high</v>
      </c>
      <c r="U336" s="1">
        <f t="shared" si="34"/>
        <v>16713.2</v>
      </c>
      <c r="V336" t="str">
        <f t="shared" si="35"/>
        <v>Heavy</v>
      </c>
      <c r="W336" t="str" cm="1">
        <f t="array" ref="W336">_xlfn.IFS(O336&gt;=7000,"Excellent",O336&gt;=4000,"Good",O336&lt;4000,"Average")</f>
        <v>Excellent</v>
      </c>
    </row>
    <row r="337" spans="1:23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30"/>
        <v>143.62799999999999</v>
      </c>
      <c r="Q337" s="1">
        <f t="shared" si="31"/>
        <v>813.89200000000005</v>
      </c>
      <c r="R337" s="1" t="str">
        <f t="shared" si="32"/>
        <v>low</v>
      </c>
      <c r="S337" s="1" t="str" cm="1">
        <f t="array" ref="S337">_xlfn.IFS(L337&gt;5,"high",L337=5,"medium",L337&lt;5,"low")</f>
        <v>low</v>
      </c>
      <c r="T337" s="5" t="str">
        <f t="shared" si="33"/>
        <v>low</v>
      </c>
      <c r="U337" s="1">
        <f t="shared" si="34"/>
        <v>1126.5</v>
      </c>
      <c r="V337" t="str">
        <f t="shared" si="35"/>
        <v>Heavy</v>
      </c>
      <c r="W337" t="str" cm="1">
        <f t="array" ref="W337">_xlfn.IFS(O337&gt;=7000,"Excellent",O337&gt;=4000,"Good",O337&lt;4000,"Average")</f>
        <v>Average</v>
      </c>
    </row>
    <row r="338" spans="1:23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30"/>
        <v>1163.518</v>
      </c>
      <c r="Q338" s="1">
        <f t="shared" si="31"/>
        <v>22106.842000000001</v>
      </c>
      <c r="R338" s="1" t="str">
        <f t="shared" si="32"/>
        <v>high</v>
      </c>
      <c r="S338" s="1" t="str" cm="1">
        <f t="array" ref="S338">_xlfn.IFS(L338&gt;5,"high",L338=5,"medium",L338&lt;5,"low")</f>
        <v>high</v>
      </c>
      <c r="T338" s="5" t="str">
        <f t="shared" si="33"/>
        <v>high</v>
      </c>
      <c r="U338" s="1">
        <f t="shared" si="34"/>
        <v>24495.119999999999</v>
      </c>
      <c r="V338" t="str">
        <f t="shared" si="35"/>
        <v>Normal</v>
      </c>
      <c r="W338" t="str" cm="1">
        <f t="array" ref="W338">_xlfn.IFS(O338&gt;=7000,"Excellent",O338&gt;=4000,"Good",O338&lt;4000,"Average")</f>
        <v>Excellent</v>
      </c>
    </row>
    <row r="339" spans="1:23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30"/>
        <v>222.922</v>
      </c>
      <c r="Q339" s="1">
        <f t="shared" si="31"/>
        <v>891.68799999999987</v>
      </c>
      <c r="R339" s="1" t="str">
        <f t="shared" si="32"/>
        <v>low</v>
      </c>
      <c r="S339" s="1" t="str" cm="1">
        <f t="array" ref="S339">_xlfn.IFS(L339&gt;5,"high",L339=5,"medium",L339&lt;5,"low")</f>
        <v>low</v>
      </c>
      <c r="T339" s="5" t="str">
        <f t="shared" si="33"/>
        <v>low</v>
      </c>
      <c r="U339" s="1">
        <f t="shared" si="34"/>
        <v>1393.26</v>
      </c>
      <c r="V339" t="str">
        <f t="shared" si="35"/>
        <v>Heavy</v>
      </c>
      <c r="W339" t="str" cm="1">
        <f t="array" ref="W339">_xlfn.IFS(O339&gt;=7000,"Excellent",O339&gt;=4000,"Good",O339&lt;4000,"Average")</f>
        <v>Average</v>
      </c>
    </row>
    <row r="340" spans="1:23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30"/>
        <v>704.61700000000008</v>
      </c>
      <c r="Q340" s="1">
        <f t="shared" si="31"/>
        <v>13387.723</v>
      </c>
      <c r="R340" s="1" t="str">
        <f t="shared" si="32"/>
        <v>low</v>
      </c>
      <c r="S340" s="1" t="str" cm="1">
        <f t="array" ref="S340">_xlfn.IFS(L340&gt;5,"high",L340=5,"medium",L340&lt;5,"low")</f>
        <v>low</v>
      </c>
      <c r="T340" s="5" t="str">
        <f t="shared" si="33"/>
        <v>low</v>
      </c>
      <c r="U340" s="1">
        <f t="shared" si="34"/>
        <v>14834.04</v>
      </c>
      <c r="V340" t="str">
        <f t="shared" si="35"/>
        <v>Normal</v>
      </c>
      <c r="W340" t="str" cm="1">
        <f t="array" ref="W340">_xlfn.IFS(O340&gt;=7000,"Excellent",O340&gt;=4000,"Good",O340&lt;4000,"Average")</f>
        <v>Excellent</v>
      </c>
    </row>
    <row r="341" spans="1:23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30"/>
        <v>2022.364</v>
      </c>
      <c r="Q341" s="1">
        <f t="shared" si="31"/>
        <v>8089.4560000000001</v>
      </c>
      <c r="R341" s="1" t="str">
        <f t="shared" si="32"/>
        <v>high</v>
      </c>
      <c r="S341" s="1" t="str" cm="1">
        <f t="array" ref="S341">_xlfn.IFS(L341&gt;5,"high",L341=5,"medium",L341&lt;5,"low")</f>
        <v>high</v>
      </c>
      <c r="T341" s="5" t="str">
        <f t="shared" si="33"/>
        <v>high</v>
      </c>
      <c r="U341" s="1">
        <f t="shared" si="34"/>
        <v>12639.78</v>
      </c>
      <c r="V341" t="str">
        <f t="shared" si="35"/>
        <v>Heavy</v>
      </c>
      <c r="W341" t="str" cm="1">
        <f t="array" ref="W341">_xlfn.IFS(O341&gt;=7000,"Excellent",O341&gt;=4000,"Good",O341&lt;4000,"Average")</f>
        <v>Excellent</v>
      </c>
    </row>
    <row r="342" spans="1:23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30"/>
        <v>0</v>
      </c>
      <c r="Q342" s="1">
        <f t="shared" si="31"/>
        <v>2567.7199999999998</v>
      </c>
      <c r="R342" s="1" t="str">
        <f t="shared" si="32"/>
        <v>low</v>
      </c>
      <c r="S342" s="1" t="str" cm="1">
        <f t="array" ref="S342">_xlfn.IFS(L342&gt;5,"high",L342=5,"medium",L342&lt;5,"low")</f>
        <v>low</v>
      </c>
      <c r="T342" s="5" t="str">
        <f t="shared" si="33"/>
        <v>low</v>
      </c>
      <c r="U342" s="1">
        <f t="shared" si="34"/>
        <v>2567.7199999999998</v>
      </c>
      <c r="V342" t="str">
        <f t="shared" si="35"/>
        <v>Normal</v>
      </c>
      <c r="W342" t="str" cm="1">
        <f t="array" ref="W342">_xlfn.IFS(O342&gt;=7000,"Excellent",O342&gt;=4000,"Good",O342&lt;4000,"Average")</f>
        <v>Average</v>
      </c>
    </row>
    <row r="343" spans="1:23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30"/>
        <v>833.899</v>
      </c>
      <c r="Q343" s="1">
        <f t="shared" si="31"/>
        <v>7505.0909999999994</v>
      </c>
      <c r="R343" s="1" t="str">
        <f t="shared" si="32"/>
        <v>high</v>
      </c>
      <c r="S343" s="1" t="str" cm="1">
        <f t="array" ref="S343">_xlfn.IFS(L343&gt;5,"high",L343=5,"medium",L343&lt;5,"low")</f>
        <v>medium</v>
      </c>
      <c r="T343" s="5" t="str">
        <f t="shared" si="33"/>
        <v>medium</v>
      </c>
      <c r="U343" s="1">
        <f t="shared" si="34"/>
        <v>9265.5499999999993</v>
      </c>
      <c r="V343" t="str">
        <f t="shared" si="35"/>
        <v>Normal</v>
      </c>
      <c r="W343" t="str" cm="1">
        <f t="array" ref="W343">_xlfn.IFS(O343&gt;=7000,"Excellent",O343&gt;=4000,"Good",O343&lt;4000,"Average")</f>
        <v>Excellent</v>
      </c>
    </row>
    <row r="344" spans="1:23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30"/>
        <v>0</v>
      </c>
      <c r="Q344" s="1">
        <f t="shared" si="31"/>
        <v>2194.5700000000002</v>
      </c>
      <c r="R344" s="1" t="str">
        <f t="shared" si="32"/>
        <v>high</v>
      </c>
      <c r="S344" s="1" t="str" cm="1">
        <f t="array" ref="S344">_xlfn.IFS(L344&gt;5,"high",L344=5,"medium",L344&lt;5,"low")</f>
        <v>high</v>
      </c>
      <c r="T344" s="5" t="str">
        <f t="shared" si="33"/>
        <v>high</v>
      </c>
      <c r="U344" s="1">
        <f t="shared" si="34"/>
        <v>2194.5699999999997</v>
      </c>
      <c r="V344" t="str">
        <f t="shared" si="35"/>
        <v>Normal</v>
      </c>
      <c r="W344" t="str" cm="1">
        <f t="array" ref="W344">_xlfn.IFS(O344&gt;=7000,"Excellent",O344&gt;=4000,"Good",O344&lt;4000,"Average")</f>
        <v>Average</v>
      </c>
    </row>
    <row r="345" spans="1:23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30"/>
        <v>1782.9180000000001</v>
      </c>
      <c r="Q345" s="1">
        <f t="shared" si="31"/>
        <v>7131.6720000000005</v>
      </c>
      <c r="R345" s="1" t="str">
        <f t="shared" si="32"/>
        <v>low</v>
      </c>
      <c r="S345" s="1" t="str" cm="1">
        <f t="array" ref="S345">_xlfn.IFS(L345&gt;5,"high",L345=5,"medium",L345&lt;5,"low")</f>
        <v>low</v>
      </c>
      <c r="T345" s="5" t="str">
        <f t="shared" si="33"/>
        <v>low</v>
      </c>
      <c r="U345" s="1">
        <f t="shared" si="34"/>
        <v>11143.24</v>
      </c>
      <c r="V345" t="str">
        <f t="shared" si="35"/>
        <v>Heavy</v>
      </c>
      <c r="W345" t="str" cm="1">
        <f t="array" ref="W345">_xlfn.IFS(O345&gt;=7000,"Excellent",O345&gt;=4000,"Good",O345&lt;4000,"Average")</f>
        <v>Excellent</v>
      </c>
    </row>
    <row r="346" spans="1:23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30"/>
        <v>326.28800000000001</v>
      </c>
      <c r="Q346" s="1">
        <f t="shared" si="31"/>
        <v>2936.5920000000001</v>
      </c>
      <c r="R346" s="1" t="str">
        <f t="shared" si="32"/>
        <v>low</v>
      </c>
      <c r="S346" s="1" t="str" cm="1">
        <f t="array" ref="S346">_xlfn.IFS(L346&gt;5,"high",L346=5,"medium",L346&lt;5,"low")</f>
        <v>low</v>
      </c>
      <c r="T346" s="5" t="str">
        <f t="shared" si="33"/>
        <v>low</v>
      </c>
      <c r="U346" s="1">
        <f t="shared" si="34"/>
        <v>3625.42</v>
      </c>
      <c r="V346" t="str">
        <f t="shared" si="35"/>
        <v>Normal</v>
      </c>
      <c r="W346" t="str" cm="1">
        <f t="array" ref="W346">_xlfn.IFS(O346&gt;=7000,"Excellent",O346&gt;=4000,"Good",O346&lt;4000,"Average")</f>
        <v>Average</v>
      </c>
    </row>
    <row r="347" spans="1:23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30"/>
        <v>2732.5030000000002</v>
      </c>
      <c r="Q347" s="1">
        <f t="shared" si="31"/>
        <v>24592.526999999998</v>
      </c>
      <c r="R347" s="1" t="str">
        <f t="shared" si="32"/>
        <v>high</v>
      </c>
      <c r="S347" s="1" t="str" cm="1">
        <f t="array" ref="S347">_xlfn.IFS(L347&gt;5,"high",L347=5,"medium",L347&lt;5,"low")</f>
        <v>high</v>
      </c>
      <c r="T347" s="5" t="str">
        <f t="shared" si="33"/>
        <v>high</v>
      </c>
      <c r="U347" s="1">
        <f t="shared" si="34"/>
        <v>30361.14</v>
      </c>
      <c r="V347" t="str">
        <f t="shared" si="35"/>
        <v>Normal</v>
      </c>
      <c r="W347" t="str" cm="1">
        <f t="array" ref="W347">_xlfn.IFS(O347&gt;=7000,"Excellent",O347&gt;=4000,"Good",O347&lt;4000,"Average")</f>
        <v>Excellent</v>
      </c>
    </row>
    <row r="348" spans="1:23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30"/>
        <v>409.83600000000001</v>
      </c>
      <c r="Q348" s="1">
        <f t="shared" si="31"/>
        <v>1639.3439999999998</v>
      </c>
      <c r="R348" s="1" t="str">
        <f t="shared" si="32"/>
        <v>low</v>
      </c>
      <c r="S348" s="1" t="str" cm="1">
        <f t="array" ref="S348">_xlfn.IFS(L348&gt;5,"high",L348=5,"medium",L348&lt;5,"low")</f>
        <v>low</v>
      </c>
      <c r="T348" s="5" t="str">
        <f t="shared" si="33"/>
        <v>low</v>
      </c>
      <c r="U348" s="1">
        <f t="shared" si="34"/>
        <v>2561.48</v>
      </c>
      <c r="V348" t="str">
        <f t="shared" si="35"/>
        <v>Heavy</v>
      </c>
      <c r="W348" t="str" cm="1">
        <f t="array" ref="W348">_xlfn.IFS(O348&gt;=7000,"Excellent",O348&gt;=4000,"Good",O348&lt;4000,"Average")</f>
        <v>Average</v>
      </c>
    </row>
    <row r="349" spans="1:23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30"/>
        <v>916.04200000000003</v>
      </c>
      <c r="Q349" s="1">
        <f t="shared" si="31"/>
        <v>3664.1680000000001</v>
      </c>
      <c r="R349" s="1" t="str">
        <f t="shared" si="32"/>
        <v>high</v>
      </c>
      <c r="S349" s="1" t="str" cm="1">
        <f t="array" ref="S349">_xlfn.IFS(L349&gt;5,"high",L349=5,"medium",L349&lt;5,"low")</f>
        <v>high</v>
      </c>
      <c r="T349" s="5" t="str">
        <f t="shared" si="33"/>
        <v>high</v>
      </c>
      <c r="U349" s="1">
        <f t="shared" si="34"/>
        <v>5725.26</v>
      </c>
      <c r="V349" t="str">
        <f t="shared" si="35"/>
        <v>Heavy</v>
      </c>
      <c r="W349" t="str" cm="1">
        <f t="array" ref="W349">_xlfn.IFS(O349&gt;=7000,"Excellent",O349&gt;=4000,"Good",O349&lt;4000,"Average")</f>
        <v>Good</v>
      </c>
    </row>
    <row r="350" spans="1:23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30"/>
        <v>935.29</v>
      </c>
      <c r="Q350" s="1">
        <f t="shared" si="31"/>
        <v>17770.509999999998</v>
      </c>
      <c r="R350" s="1" t="str">
        <f t="shared" si="32"/>
        <v>high</v>
      </c>
      <c r="S350" s="1" t="str" cm="1">
        <f t="array" ref="S350">_xlfn.IFS(L350&gt;5,"high",L350=5,"medium",L350&lt;5,"low")</f>
        <v>high</v>
      </c>
      <c r="T350" s="5" t="str">
        <f t="shared" si="33"/>
        <v>high</v>
      </c>
      <c r="U350" s="1">
        <f t="shared" si="34"/>
        <v>19690.32</v>
      </c>
      <c r="V350" t="str">
        <f t="shared" si="35"/>
        <v>Normal</v>
      </c>
      <c r="W350" t="str" cm="1">
        <f t="array" ref="W350">_xlfn.IFS(O350&gt;=7000,"Excellent",O350&gt;=4000,"Good",O350&lt;4000,"Average")</f>
        <v>Excellent</v>
      </c>
    </row>
    <row r="351" spans="1:23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30"/>
        <v>593.34</v>
      </c>
      <c r="Q351" s="1">
        <f t="shared" si="31"/>
        <v>2373.3599999999997</v>
      </c>
      <c r="R351" s="1" t="str">
        <f t="shared" si="32"/>
        <v>low</v>
      </c>
      <c r="S351" s="1" t="str" cm="1">
        <f t="array" ref="S351">_xlfn.IFS(L351&gt;5,"high",L351=5,"medium",L351&lt;5,"low")</f>
        <v>low</v>
      </c>
      <c r="T351" s="5" t="str">
        <f t="shared" si="33"/>
        <v>low</v>
      </c>
      <c r="U351" s="1">
        <f t="shared" si="34"/>
        <v>3708.38</v>
      </c>
      <c r="V351" t="str">
        <f t="shared" si="35"/>
        <v>Heavy</v>
      </c>
      <c r="W351" t="str" cm="1">
        <f t="array" ref="W351">_xlfn.IFS(O351&gt;=7000,"Excellent",O351&gt;=4000,"Good",O351&lt;4000,"Average")</f>
        <v>Average</v>
      </c>
    </row>
    <row r="352" spans="1:23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30"/>
        <v>735.76949999999999</v>
      </c>
      <c r="Q352" s="1">
        <f t="shared" si="31"/>
        <v>4169.3604999999998</v>
      </c>
      <c r="R352" s="1" t="str">
        <f t="shared" si="32"/>
        <v>low</v>
      </c>
      <c r="S352" s="1" t="str" cm="1">
        <f t="array" ref="S352">_xlfn.IFS(L352&gt;5,"high",L352=5,"medium",L352&lt;5,"low")</f>
        <v>low</v>
      </c>
      <c r="T352" s="5" t="str">
        <f t="shared" si="33"/>
        <v>low</v>
      </c>
      <c r="U352" s="1">
        <f t="shared" si="34"/>
        <v>5770.74</v>
      </c>
      <c r="V352" t="str">
        <f t="shared" si="35"/>
        <v>Heavy</v>
      </c>
      <c r="W352" t="str" cm="1">
        <f t="array" ref="W352">_xlfn.IFS(O352&gt;=7000,"Excellent",O352&gt;=4000,"Good",O352&lt;4000,"Average")</f>
        <v>Good</v>
      </c>
    </row>
    <row r="353" spans="1:23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30"/>
        <v>662.73199999999997</v>
      </c>
      <c r="Q353" s="1">
        <f t="shared" si="31"/>
        <v>2650.9279999999999</v>
      </c>
      <c r="R353" s="1" t="str">
        <f t="shared" si="32"/>
        <v>low</v>
      </c>
      <c r="S353" s="1" t="str" cm="1">
        <f t="array" ref="S353">_xlfn.IFS(L353&gt;5,"high",L353=5,"medium",L353&lt;5,"low")</f>
        <v>low</v>
      </c>
      <c r="T353" s="5" t="str">
        <f t="shared" si="33"/>
        <v>low</v>
      </c>
      <c r="U353" s="1">
        <f t="shared" si="34"/>
        <v>4142.08</v>
      </c>
      <c r="V353" t="str">
        <f t="shared" si="35"/>
        <v>Heavy</v>
      </c>
      <c r="W353" t="str" cm="1">
        <f t="array" ref="W353">_xlfn.IFS(O353&gt;=7000,"Excellent",O353&gt;=4000,"Good",O353&lt;4000,"Average")</f>
        <v>Average</v>
      </c>
    </row>
    <row r="354" spans="1:23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30"/>
        <v>1578.1680000000001</v>
      </c>
      <c r="Q354" s="1">
        <f t="shared" si="31"/>
        <v>8942.9520000000011</v>
      </c>
      <c r="R354" s="1" t="str">
        <f t="shared" si="32"/>
        <v>high</v>
      </c>
      <c r="S354" s="1" t="str" cm="1">
        <f t="array" ref="S354">_xlfn.IFS(L354&gt;5,"high",L354=5,"medium",L354&lt;5,"low")</f>
        <v>high</v>
      </c>
      <c r="T354" s="5" t="str">
        <f t="shared" si="33"/>
        <v>high</v>
      </c>
      <c r="U354" s="1">
        <f t="shared" si="34"/>
        <v>12377.789999999999</v>
      </c>
      <c r="V354" t="str">
        <f t="shared" si="35"/>
        <v>Heavy</v>
      </c>
      <c r="W354" t="str" cm="1">
        <f t="array" ref="W354">_xlfn.IFS(O354&gt;=7000,"Excellent",O354&gt;=4000,"Good",O354&lt;4000,"Average")</f>
        <v>Excellent</v>
      </c>
    </row>
    <row r="355" spans="1:23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30"/>
        <v>574.86800000000005</v>
      </c>
      <c r="Q355" s="1">
        <f t="shared" si="31"/>
        <v>2299.4720000000002</v>
      </c>
      <c r="R355" s="1" t="str">
        <f t="shared" si="32"/>
        <v>low</v>
      </c>
      <c r="S355" s="1" t="str" cm="1">
        <f t="array" ref="S355">_xlfn.IFS(L355&gt;5,"high",L355=5,"medium",L355&lt;5,"low")</f>
        <v>low</v>
      </c>
      <c r="T355" s="5" t="str">
        <f t="shared" si="33"/>
        <v>low</v>
      </c>
      <c r="U355" s="1">
        <f t="shared" si="34"/>
        <v>3592.92</v>
      </c>
      <c r="V355" t="str">
        <f t="shared" si="35"/>
        <v>Heavy</v>
      </c>
      <c r="W355" t="str" cm="1">
        <f t="array" ref="W355">_xlfn.IFS(O355&gt;=7000,"Excellent",O355&gt;=4000,"Good",O355&lt;4000,"Average")</f>
        <v>Average</v>
      </c>
    </row>
    <row r="356" spans="1:23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30"/>
        <v>1125.556</v>
      </c>
      <c r="Q356" s="1">
        <f t="shared" si="31"/>
        <v>21385.563999999998</v>
      </c>
      <c r="R356" s="1" t="str">
        <f t="shared" si="32"/>
        <v>high</v>
      </c>
      <c r="S356" s="1" t="str" cm="1">
        <f t="array" ref="S356">_xlfn.IFS(L356&gt;5,"high",L356=5,"medium",L356&lt;5,"low")</f>
        <v>high</v>
      </c>
      <c r="T356" s="5" t="str">
        <f t="shared" si="33"/>
        <v>high</v>
      </c>
      <c r="U356" s="1">
        <f t="shared" si="34"/>
        <v>23695.920000000002</v>
      </c>
      <c r="V356" t="str">
        <f t="shared" si="35"/>
        <v>Normal</v>
      </c>
      <c r="W356" t="str" cm="1">
        <f t="array" ref="W356">_xlfn.IFS(O356&gt;=7000,"Excellent",O356&gt;=4000,"Good",O356&lt;4000,"Average")</f>
        <v>Excellent</v>
      </c>
    </row>
    <row r="357" spans="1:23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30"/>
        <v>1445.586</v>
      </c>
      <c r="Q357" s="1">
        <f t="shared" si="31"/>
        <v>8191.6539999999995</v>
      </c>
      <c r="R357" s="1" t="str">
        <f t="shared" si="32"/>
        <v>high</v>
      </c>
      <c r="S357" s="1" t="str" cm="1">
        <f t="array" ref="S357">_xlfn.IFS(L357&gt;5,"high",L357=5,"medium",L357&lt;5,"low")</f>
        <v>high</v>
      </c>
      <c r="T357" s="5" t="str">
        <f t="shared" si="33"/>
        <v>high</v>
      </c>
      <c r="U357" s="1">
        <f t="shared" si="34"/>
        <v>11337.93</v>
      </c>
      <c r="V357" t="str">
        <f t="shared" si="35"/>
        <v>Heavy</v>
      </c>
      <c r="W357" t="str" cm="1">
        <f t="array" ref="W357">_xlfn.IFS(O357&gt;=7000,"Excellent",O357&gt;=4000,"Good",O357&lt;4000,"Average")</f>
        <v>Excellent</v>
      </c>
    </row>
    <row r="358" spans="1:23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30"/>
        <v>0</v>
      </c>
      <c r="Q358" s="1">
        <f t="shared" si="31"/>
        <v>10402.48</v>
      </c>
      <c r="R358" s="1" t="str">
        <f t="shared" si="32"/>
        <v>high</v>
      </c>
      <c r="S358" s="1" t="str" cm="1">
        <f t="array" ref="S358">_xlfn.IFS(L358&gt;5,"high",L358=5,"medium",L358&lt;5,"low")</f>
        <v>high</v>
      </c>
      <c r="T358" s="5" t="str">
        <f t="shared" si="33"/>
        <v>high</v>
      </c>
      <c r="U358" s="1">
        <f t="shared" si="34"/>
        <v>10402.48</v>
      </c>
      <c r="V358" t="str">
        <f t="shared" si="35"/>
        <v>Normal</v>
      </c>
      <c r="W358" t="str" cm="1">
        <f t="array" ref="W358">_xlfn.IFS(O358&gt;=7000,"Excellent",O358&gt;=4000,"Good",O358&lt;4000,"Average")</f>
        <v>Excellent</v>
      </c>
    </row>
    <row r="359" spans="1:23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30"/>
        <v>3652.7429999999999</v>
      </c>
      <c r="Q359" s="1">
        <f t="shared" si="31"/>
        <v>20698.877</v>
      </c>
      <c r="R359" s="1" t="str">
        <f t="shared" si="32"/>
        <v>high</v>
      </c>
      <c r="S359" s="1" t="str" cm="1">
        <f t="array" ref="S359">_xlfn.IFS(L359&gt;5,"high",L359=5,"medium",L359&lt;5,"low")</f>
        <v>high</v>
      </c>
      <c r="T359" s="5" t="str">
        <f t="shared" si="33"/>
        <v>high</v>
      </c>
      <c r="U359" s="1">
        <f t="shared" si="34"/>
        <v>28648.959999999999</v>
      </c>
      <c r="V359" t="str">
        <f t="shared" si="35"/>
        <v>Heavy</v>
      </c>
      <c r="W359" t="str" cm="1">
        <f t="array" ref="W359">_xlfn.IFS(O359&gt;=7000,"Excellent",O359&gt;=4000,"Good",O359&lt;4000,"Average")</f>
        <v>Excellent</v>
      </c>
    </row>
    <row r="360" spans="1:23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30"/>
        <v>9.6185000000000009</v>
      </c>
      <c r="Q360" s="1">
        <f t="shared" si="31"/>
        <v>182.75149999999999</v>
      </c>
      <c r="R360" s="1" t="str">
        <f t="shared" si="32"/>
        <v>low</v>
      </c>
      <c r="S360" s="1" t="str" cm="1">
        <f t="array" ref="S360">_xlfn.IFS(L360&gt;5,"high",L360=5,"medium",L360&lt;5,"low")</f>
        <v>low</v>
      </c>
      <c r="T360" s="5" t="str">
        <f t="shared" si="33"/>
        <v>low</v>
      </c>
      <c r="U360" s="1">
        <f t="shared" si="34"/>
        <v>202.49</v>
      </c>
      <c r="V360" t="str">
        <f t="shared" si="35"/>
        <v>Normal</v>
      </c>
      <c r="W360" t="str" cm="1">
        <f t="array" ref="W360">_xlfn.IFS(O360&gt;=7000,"Excellent",O360&gt;=4000,"Good",O360&lt;4000,"Average")</f>
        <v>Average</v>
      </c>
    </row>
    <row r="361" spans="1:23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30"/>
        <v>1420.35</v>
      </c>
      <c r="Q361" s="1">
        <f t="shared" si="31"/>
        <v>8048.65</v>
      </c>
      <c r="R361" s="1" t="str">
        <f t="shared" si="32"/>
        <v>high</v>
      </c>
      <c r="S361" s="1" t="str" cm="1">
        <f t="array" ref="S361">_xlfn.IFS(L361&gt;5,"high",L361=5,"medium",L361&lt;5,"low")</f>
        <v>high</v>
      </c>
      <c r="T361" s="5" t="str">
        <f t="shared" si="33"/>
        <v>high</v>
      </c>
      <c r="U361" s="1">
        <f t="shared" si="34"/>
        <v>11140</v>
      </c>
      <c r="V361" t="str">
        <f t="shared" si="35"/>
        <v>Heavy</v>
      </c>
      <c r="W361" t="str" cm="1">
        <f t="array" ref="W361">_xlfn.IFS(O361&gt;=7000,"Excellent",O361&gt;=4000,"Good",O361&lt;4000,"Average")</f>
        <v>Excellent</v>
      </c>
    </row>
    <row r="362" spans="1:23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30"/>
        <v>1096.45</v>
      </c>
      <c r="Q362" s="1">
        <f t="shared" si="31"/>
        <v>4385.8</v>
      </c>
      <c r="R362" s="1" t="str">
        <f t="shared" si="32"/>
        <v>low</v>
      </c>
      <c r="S362" s="1" t="str" cm="1">
        <f t="array" ref="S362">_xlfn.IFS(L362&gt;5,"high",L362=5,"medium",L362&lt;5,"low")</f>
        <v>low</v>
      </c>
      <c r="T362" s="5" t="str">
        <f t="shared" si="33"/>
        <v>low</v>
      </c>
      <c r="U362" s="1">
        <f t="shared" si="34"/>
        <v>6852.8099999999995</v>
      </c>
      <c r="V362" t="str">
        <f t="shared" si="35"/>
        <v>Heavy</v>
      </c>
      <c r="W362" t="str" cm="1">
        <f t="array" ref="W362">_xlfn.IFS(O362&gt;=7000,"Excellent",O362&gt;=4000,"Good",O362&lt;4000,"Average")</f>
        <v>Good</v>
      </c>
    </row>
    <row r="363" spans="1:23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30"/>
        <v>807.11599999999999</v>
      </c>
      <c r="Q363" s="1">
        <f t="shared" si="31"/>
        <v>3228.4639999999999</v>
      </c>
      <c r="R363" s="1" t="str">
        <f t="shared" si="32"/>
        <v>high</v>
      </c>
      <c r="S363" s="1" t="str" cm="1">
        <f t="array" ref="S363">_xlfn.IFS(L363&gt;5,"high",L363=5,"medium",L363&lt;5,"low")</f>
        <v>high</v>
      </c>
      <c r="T363" s="5" t="str">
        <f t="shared" si="33"/>
        <v>high</v>
      </c>
      <c r="U363" s="1">
        <f t="shared" si="34"/>
        <v>5044.4799999999996</v>
      </c>
      <c r="V363" t="str">
        <f t="shared" si="35"/>
        <v>Heavy</v>
      </c>
      <c r="W363" t="str" cm="1">
        <f t="array" ref="W363">_xlfn.IFS(O363&gt;=7000,"Excellent",O363&gt;=4000,"Good",O363&lt;4000,"Average")</f>
        <v>Good</v>
      </c>
    </row>
    <row r="364" spans="1:23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30"/>
        <v>23.967500000000001</v>
      </c>
      <c r="Q364" s="1">
        <f t="shared" si="31"/>
        <v>455.38250000000005</v>
      </c>
      <c r="R364" s="1" t="str">
        <f t="shared" si="32"/>
        <v>low</v>
      </c>
      <c r="S364" s="1" t="str" cm="1">
        <f t="array" ref="S364">_xlfn.IFS(L364&gt;5,"high",L364=5,"medium",L364&lt;5,"low")</f>
        <v>low</v>
      </c>
      <c r="T364" s="5" t="str">
        <f t="shared" si="33"/>
        <v>low</v>
      </c>
      <c r="U364" s="1">
        <f t="shared" si="34"/>
        <v>504.58</v>
      </c>
      <c r="V364" t="str">
        <f t="shared" si="35"/>
        <v>Normal</v>
      </c>
      <c r="W364" t="str" cm="1">
        <f t="array" ref="W364">_xlfn.IFS(O364&gt;=7000,"Excellent",O364&gt;=4000,"Good",O364&lt;4000,"Average")</f>
        <v>Average</v>
      </c>
    </row>
    <row r="365" spans="1:23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30"/>
        <v>295.99299999999999</v>
      </c>
      <c r="Q365" s="1">
        <f t="shared" si="31"/>
        <v>2663.9369999999999</v>
      </c>
      <c r="R365" s="1" t="str">
        <f t="shared" si="32"/>
        <v>low</v>
      </c>
      <c r="S365" s="1" t="str" cm="1">
        <f t="array" ref="S365">_xlfn.IFS(L365&gt;5,"high",L365=5,"medium",L365&lt;5,"low")</f>
        <v>low</v>
      </c>
      <c r="T365" s="5" t="str">
        <f t="shared" si="33"/>
        <v>low</v>
      </c>
      <c r="U365" s="1">
        <f t="shared" si="34"/>
        <v>3288.81</v>
      </c>
      <c r="V365" t="str">
        <f t="shared" si="35"/>
        <v>Normal</v>
      </c>
      <c r="W365" t="str" cm="1">
        <f t="array" ref="W365">_xlfn.IFS(O365&gt;=7000,"Excellent",O365&gt;=4000,"Good",O365&lt;4000,"Average")</f>
        <v>Average</v>
      </c>
    </row>
    <row r="366" spans="1:23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30"/>
        <v>2874.768</v>
      </c>
      <c r="Q366" s="1">
        <f t="shared" si="31"/>
        <v>11499.072</v>
      </c>
      <c r="R366" s="1" t="str">
        <f t="shared" si="32"/>
        <v>high</v>
      </c>
      <c r="S366" s="1" t="str" cm="1">
        <f t="array" ref="S366">_xlfn.IFS(L366&gt;5,"high",L366=5,"medium",L366&lt;5,"low")</f>
        <v>medium</v>
      </c>
      <c r="T366" s="5" t="str">
        <f t="shared" si="33"/>
        <v>medium</v>
      </c>
      <c r="U366" s="1">
        <f t="shared" si="34"/>
        <v>17967.3</v>
      </c>
      <c r="V366" t="str">
        <f t="shared" si="35"/>
        <v>Heavy</v>
      </c>
      <c r="W366" t="str" cm="1">
        <f t="array" ref="W366">_xlfn.IFS(O366&gt;=7000,"Excellent",O366&gt;=4000,"Good",O366&lt;4000,"Average")</f>
        <v>Excellent</v>
      </c>
    </row>
    <row r="367" spans="1:23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30"/>
        <v>0</v>
      </c>
      <c r="Q367" s="1">
        <f t="shared" si="31"/>
        <v>16604.400000000001</v>
      </c>
      <c r="R367" s="1" t="str">
        <f t="shared" si="32"/>
        <v>high</v>
      </c>
      <c r="S367" s="1" t="str" cm="1">
        <f t="array" ref="S367">_xlfn.IFS(L367&gt;5,"high",L367=5,"medium",L367&lt;5,"low")</f>
        <v>medium</v>
      </c>
      <c r="T367" s="5" t="str">
        <f t="shared" si="33"/>
        <v>medium</v>
      </c>
      <c r="U367" s="1">
        <f t="shared" si="34"/>
        <v>16604.400000000001</v>
      </c>
      <c r="V367" t="str">
        <f t="shared" si="35"/>
        <v>Normal</v>
      </c>
      <c r="W367" t="str" cm="1">
        <f t="array" ref="W367">_xlfn.IFS(O367&gt;=7000,"Excellent",O367&gt;=4000,"Good",O367&lt;4000,"Average")</f>
        <v>Excellent</v>
      </c>
    </row>
    <row r="368" spans="1:23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30"/>
        <v>1371.9255000000001</v>
      </c>
      <c r="Q368" s="1">
        <f t="shared" si="31"/>
        <v>26066.584499999997</v>
      </c>
      <c r="R368" s="1" t="str">
        <f t="shared" si="32"/>
        <v>high</v>
      </c>
      <c r="S368" s="1" t="str" cm="1">
        <f t="array" ref="S368">_xlfn.IFS(L368&gt;5,"high",L368=5,"medium",L368&lt;5,"low")</f>
        <v>high</v>
      </c>
      <c r="T368" s="5" t="str">
        <f t="shared" si="33"/>
        <v>high</v>
      </c>
      <c r="U368" s="1">
        <f t="shared" si="34"/>
        <v>28882.639999999999</v>
      </c>
      <c r="V368" t="str">
        <f t="shared" si="35"/>
        <v>Normal</v>
      </c>
      <c r="W368" t="str" cm="1">
        <f t="array" ref="W368">_xlfn.IFS(O368&gt;=7000,"Excellent",O368&gt;=4000,"Good",O368&lt;4000,"Average")</f>
        <v>Excellent</v>
      </c>
    </row>
    <row r="369" spans="1:23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30"/>
        <v>2034.4364999999998</v>
      </c>
      <c r="Q369" s="1">
        <f t="shared" si="31"/>
        <v>11528.4735</v>
      </c>
      <c r="R369" s="1" t="str">
        <f t="shared" si="32"/>
        <v>high</v>
      </c>
      <c r="S369" s="1" t="str" cm="1">
        <f t="array" ref="S369">_xlfn.IFS(L369&gt;5,"high",L369=5,"medium",L369&lt;5,"low")</f>
        <v>high</v>
      </c>
      <c r="T369" s="5" t="str">
        <f t="shared" si="33"/>
        <v>high</v>
      </c>
      <c r="U369" s="1">
        <f t="shared" si="34"/>
        <v>15956.36</v>
      </c>
      <c r="V369" t="str">
        <f t="shared" si="35"/>
        <v>Heavy</v>
      </c>
      <c r="W369" t="str" cm="1">
        <f t="array" ref="W369">_xlfn.IFS(O369&gt;=7000,"Excellent",O369&gt;=4000,"Good",O369&lt;4000,"Average")</f>
        <v>Excellent</v>
      </c>
    </row>
    <row r="370" spans="1:23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30"/>
        <v>3342.7334999999998</v>
      </c>
      <c r="Q370" s="1">
        <f t="shared" si="31"/>
        <v>18942.156500000001</v>
      </c>
      <c r="R370" s="1" t="str">
        <f t="shared" si="32"/>
        <v>high</v>
      </c>
      <c r="S370" s="1" t="str" cm="1">
        <f t="array" ref="S370">_xlfn.IFS(L370&gt;5,"high",L370=5,"medium",L370&lt;5,"low")</f>
        <v>high</v>
      </c>
      <c r="T370" s="5" t="str">
        <f t="shared" si="33"/>
        <v>high</v>
      </c>
      <c r="U370" s="1">
        <f t="shared" si="34"/>
        <v>26217.52</v>
      </c>
      <c r="V370" t="str">
        <f t="shared" si="35"/>
        <v>Heavy</v>
      </c>
      <c r="W370" t="str" cm="1">
        <f t="array" ref="W370">_xlfn.IFS(O370&gt;=7000,"Excellent",O370&gt;=4000,"Good",O370&lt;4000,"Average")</f>
        <v>Excellent</v>
      </c>
    </row>
    <row r="371" spans="1:23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30"/>
        <v>0</v>
      </c>
      <c r="Q371" s="1">
        <f t="shared" si="31"/>
        <v>9771.36</v>
      </c>
      <c r="R371" s="1" t="str">
        <f t="shared" si="32"/>
        <v>high</v>
      </c>
      <c r="S371" s="1" t="str" cm="1">
        <f t="array" ref="S371">_xlfn.IFS(L371&gt;5,"high",L371=5,"medium",L371&lt;5,"low")</f>
        <v>high</v>
      </c>
      <c r="T371" s="5" t="str">
        <f t="shared" si="33"/>
        <v>high</v>
      </c>
      <c r="U371" s="1">
        <f t="shared" si="34"/>
        <v>9771.36</v>
      </c>
      <c r="V371" t="str">
        <f t="shared" si="35"/>
        <v>Normal</v>
      </c>
      <c r="W371" t="str" cm="1">
        <f t="array" ref="W371">_xlfn.IFS(O371&gt;=7000,"Excellent",O371&gt;=4000,"Good",O371&lt;4000,"Average")</f>
        <v>Excellent</v>
      </c>
    </row>
    <row r="372" spans="1:23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30"/>
        <v>2606.5240000000003</v>
      </c>
      <c r="Q372" s="1">
        <f t="shared" si="31"/>
        <v>10426.096000000001</v>
      </c>
      <c r="R372" s="1" t="str">
        <f t="shared" si="32"/>
        <v>high</v>
      </c>
      <c r="S372" s="1" t="str" cm="1">
        <f t="array" ref="S372">_xlfn.IFS(L372&gt;5,"high",L372=5,"medium",L372&lt;5,"low")</f>
        <v>high</v>
      </c>
      <c r="T372" s="5" t="str">
        <f t="shared" si="33"/>
        <v>high</v>
      </c>
      <c r="U372" s="1">
        <f t="shared" si="34"/>
        <v>16290.78</v>
      </c>
      <c r="V372" t="str">
        <f t="shared" si="35"/>
        <v>Heavy</v>
      </c>
      <c r="W372" t="str" cm="1">
        <f t="array" ref="W372">_xlfn.IFS(O372&gt;=7000,"Excellent",O372&gt;=4000,"Good",O372&lt;4000,"Average")</f>
        <v>Excellent</v>
      </c>
    </row>
    <row r="373" spans="1:23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30"/>
        <v>375.91700000000003</v>
      </c>
      <c r="Q373" s="1">
        <f t="shared" si="31"/>
        <v>7142.4229999999998</v>
      </c>
      <c r="R373" s="1" t="str">
        <f t="shared" si="32"/>
        <v>low</v>
      </c>
      <c r="S373" s="1" t="str" cm="1">
        <f t="array" ref="S373">_xlfn.IFS(L373&gt;5,"high",L373=5,"medium",L373&lt;5,"low")</f>
        <v>low</v>
      </c>
      <c r="T373" s="5" t="str">
        <f t="shared" si="33"/>
        <v>low</v>
      </c>
      <c r="U373" s="1">
        <f t="shared" si="34"/>
        <v>7914.04</v>
      </c>
      <c r="V373" t="str">
        <f t="shared" si="35"/>
        <v>Normal</v>
      </c>
      <c r="W373" t="str" cm="1">
        <f t="array" ref="W373">_xlfn.IFS(O373&gt;=7000,"Excellent",O373&gt;=4000,"Good",O373&lt;4000,"Average")</f>
        <v>Excellent</v>
      </c>
    </row>
    <row r="374" spans="1:23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30"/>
        <v>0</v>
      </c>
      <c r="Q374" s="1">
        <f t="shared" si="31"/>
        <v>6114.3</v>
      </c>
      <c r="R374" s="1" t="str">
        <f t="shared" si="32"/>
        <v>high</v>
      </c>
      <c r="S374" s="1" t="str" cm="1">
        <f t="array" ref="S374">_xlfn.IFS(L374&gt;5,"high",L374=5,"medium",L374&lt;5,"low")</f>
        <v>high</v>
      </c>
      <c r="T374" s="5" t="str">
        <f t="shared" si="33"/>
        <v>high</v>
      </c>
      <c r="U374" s="1">
        <f t="shared" si="34"/>
        <v>6114.2999999999993</v>
      </c>
      <c r="V374" t="str">
        <f t="shared" si="35"/>
        <v>Normal</v>
      </c>
      <c r="W374" t="str" cm="1">
        <f t="array" ref="W374">_xlfn.IFS(O374&gt;=7000,"Excellent",O374&gt;=4000,"Good",O374&lt;4000,"Average")</f>
        <v>Good</v>
      </c>
    </row>
    <row r="375" spans="1:23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30"/>
        <v>1320.8879999999999</v>
      </c>
      <c r="Q375" s="1">
        <f t="shared" si="31"/>
        <v>5283.5519999999997</v>
      </c>
      <c r="R375" s="1" t="str">
        <f t="shared" si="32"/>
        <v>high</v>
      </c>
      <c r="S375" s="1" t="str" cm="1">
        <f t="array" ref="S375">_xlfn.IFS(L375&gt;5,"high",L375=5,"medium",L375&lt;5,"low")</f>
        <v>medium</v>
      </c>
      <c r="T375" s="5" t="str">
        <f t="shared" si="33"/>
        <v>medium</v>
      </c>
      <c r="U375" s="1">
        <f t="shared" si="34"/>
        <v>8255.5499999999993</v>
      </c>
      <c r="V375" t="str">
        <f t="shared" si="35"/>
        <v>Heavy</v>
      </c>
      <c r="W375" t="str" cm="1">
        <f t="array" ref="W375">_xlfn.IFS(O375&gt;=7000,"Excellent",O375&gt;=4000,"Good",O375&lt;4000,"Average")</f>
        <v>Good</v>
      </c>
    </row>
    <row r="376" spans="1:23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30"/>
        <v>284.74050000000005</v>
      </c>
      <c r="Q376" s="1">
        <f t="shared" si="31"/>
        <v>5410.0695000000005</v>
      </c>
      <c r="R376" s="1" t="str">
        <f t="shared" si="32"/>
        <v>low</v>
      </c>
      <c r="S376" s="1" t="str" cm="1">
        <f t="array" ref="S376">_xlfn.IFS(L376&gt;5,"high",L376=5,"medium",L376&lt;5,"low")</f>
        <v>low</v>
      </c>
      <c r="T376" s="5" t="str">
        <f t="shared" si="33"/>
        <v>low</v>
      </c>
      <c r="U376" s="1">
        <f t="shared" si="34"/>
        <v>5994.54</v>
      </c>
      <c r="V376" t="str">
        <f t="shared" si="35"/>
        <v>Normal</v>
      </c>
      <c r="W376" t="str" cm="1">
        <f t="array" ref="W376">_xlfn.IFS(O376&gt;=7000,"Excellent",O376&gt;=4000,"Good",O376&lt;4000,"Average")</f>
        <v>Good</v>
      </c>
    </row>
    <row r="377" spans="1:23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30"/>
        <v>521.24099999999999</v>
      </c>
      <c r="Q377" s="1">
        <f t="shared" si="31"/>
        <v>2953.6990000000001</v>
      </c>
      <c r="R377" s="1" t="str">
        <f t="shared" si="32"/>
        <v>high</v>
      </c>
      <c r="S377" s="1" t="str" cm="1">
        <f t="array" ref="S377">_xlfn.IFS(L377&gt;5,"high",L377=5,"medium",L377&lt;5,"low")</f>
        <v>high</v>
      </c>
      <c r="T377" s="5" t="str">
        <f t="shared" si="33"/>
        <v>high</v>
      </c>
      <c r="U377" s="1">
        <f t="shared" si="34"/>
        <v>4088.16</v>
      </c>
      <c r="V377" t="str">
        <f t="shared" si="35"/>
        <v>Heavy</v>
      </c>
      <c r="W377" t="str" cm="1">
        <f t="array" ref="W377">_xlfn.IFS(O377&gt;=7000,"Excellent",O377&gt;=4000,"Good",O377&lt;4000,"Average")</f>
        <v>Average</v>
      </c>
    </row>
    <row r="378" spans="1:23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30"/>
        <v>175.56</v>
      </c>
      <c r="Q378" s="1">
        <f t="shared" si="31"/>
        <v>3335.64</v>
      </c>
      <c r="R378" s="1" t="str">
        <f t="shared" si="32"/>
        <v>high</v>
      </c>
      <c r="S378" s="1" t="str" cm="1">
        <f t="array" ref="S378">_xlfn.IFS(L378&gt;5,"high",L378=5,"medium",L378&lt;5,"low")</f>
        <v>high</v>
      </c>
      <c r="T378" s="5" t="str">
        <f t="shared" si="33"/>
        <v>high</v>
      </c>
      <c r="U378" s="1">
        <f t="shared" si="34"/>
        <v>3696</v>
      </c>
      <c r="V378" t="str">
        <f t="shared" si="35"/>
        <v>Normal</v>
      </c>
      <c r="W378" t="str" cm="1">
        <f t="array" ref="W378">_xlfn.IFS(O378&gt;=7000,"Excellent",O378&gt;=4000,"Good",O378&lt;4000,"Average")</f>
        <v>Average</v>
      </c>
    </row>
    <row r="379" spans="1:23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30"/>
        <v>2708.9880000000003</v>
      </c>
      <c r="Q379" s="1">
        <f t="shared" si="31"/>
        <v>24380.892</v>
      </c>
      <c r="R379" s="1" t="str">
        <f t="shared" si="32"/>
        <v>high</v>
      </c>
      <c r="S379" s="1" t="str" cm="1">
        <f t="array" ref="S379">_xlfn.IFS(L379&gt;5,"high",L379=5,"medium",L379&lt;5,"low")</f>
        <v>high</v>
      </c>
      <c r="T379" s="5" t="str">
        <f t="shared" si="33"/>
        <v>high</v>
      </c>
      <c r="U379" s="1">
        <f t="shared" si="34"/>
        <v>30099.87</v>
      </c>
      <c r="V379" t="str">
        <f t="shared" si="35"/>
        <v>Normal</v>
      </c>
      <c r="W379" t="str" cm="1">
        <f t="array" ref="W379">_xlfn.IFS(O379&gt;=7000,"Excellent",O379&gt;=4000,"Good",O379&lt;4000,"Average")</f>
        <v>Excellent</v>
      </c>
    </row>
    <row r="380" spans="1:23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30"/>
        <v>185.75650000000002</v>
      </c>
      <c r="Q380" s="1">
        <f t="shared" si="31"/>
        <v>3529.3735000000001</v>
      </c>
      <c r="R380" s="1" t="str">
        <f t="shared" si="32"/>
        <v>low</v>
      </c>
      <c r="S380" s="1" t="str" cm="1">
        <f t="array" ref="S380">_xlfn.IFS(L380&gt;5,"high",L380=5,"medium",L380&lt;5,"low")</f>
        <v>low</v>
      </c>
      <c r="T380" s="5" t="str">
        <f t="shared" si="33"/>
        <v>low</v>
      </c>
      <c r="U380" s="1">
        <f t="shared" si="34"/>
        <v>3910.66</v>
      </c>
      <c r="V380" t="str">
        <f t="shared" si="35"/>
        <v>Normal</v>
      </c>
      <c r="W380" t="str" cm="1">
        <f t="array" ref="W380">_xlfn.IFS(O380&gt;=7000,"Excellent",O380&gt;=4000,"Good",O380&lt;4000,"Average")</f>
        <v>Average</v>
      </c>
    </row>
    <row r="381" spans="1:23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30"/>
        <v>461.21100000000001</v>
      </c>
      <c r="Q381" s="1">
        <f t="shared" si="31"/>
        <v>4150.8989999999994</v>
      </c>
      <c r="R381" s="1" t="str">
        <f t="shared" si="32"/>
        <v>low</v>
      </c>
      <c r="S381" s="1" t="str" cm="1">
        <f t="array" ref="S381">_xlfn.IFS(L381&gt;5,"high",L381=5,"medium",L381&lt;5,"low")</f>
        <v>low</v>
      </c>
      <c r="T381" s="5" t="str">
        <f t="shared" si="33"/>
        <v>low</v>
      </c>
      <c r="U381" s="1">
        <f t="shared" si="34"/>
        <v>5124.57</v>
      </c>
      <c r="V381" t="str">
        <f t="shared" si="35"/>
        <v>Normal</v>
      </c>
      <c r="W381" t="str" cm="1">
        <f t="array" ref="W381">_xlfn.IFS(O381&gt;=7000,"Excellent",O381&gt;=4000,"Good",O381&lt;4000,"Average")</f>
        <v>Good</v>
      </c>
    </row>
    <row r="382" spans="1:23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30"/>
        <v>69.461500000000001</v>
      </c>
      <c r="Q382" s="1">
        <f t="shared" si="31"/>
        <v>1319.7685000000001</v>
      </c>
      <c r="R382" s="1" t="str">
        <f t="shared" si="32"/>
        <v>low</v>
      </c>
      <c r="S382" s="1" t="str" cm="1">
        <f t="array" ref="S382">_xlfn.IFS(L382&gt;5,"high",L382=5,"medium",L382&lt;5,"low")</f>
        <v>low</v>
      </c>
      <c r="T382" s="5" t="str">
        <f t="shared" si="33"/>
        <v>low</v>
      </c>
      <c r="U382" s="1">
        <f t="shared" si="34"/>
        <v>1462.35</v>
      </c>
      <c r="V382" t="str">
        <f t="shared" si="35"/>
        <v>Normal</v>
      </c>
      <c r="W382" t="str" cm="1">
        <f t="array" ref="W382">_xlfn.IFS(O382&gt;=7000,"Excellent",O382&gt;=4000,"Good",O382&lt;4000,"Average")</f>
        <v>Average</v>
      </c>
    </row>
    <row r="383" spans="1:23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30"/>
        <v>290.43400000000003</v>
      </c>
      <c r="Q383" s="1">
        <f t="shared" si="31"/>
        <v>2613.9059999999999</v>
      </c>
      <c r="R383" s="1" t="str">
        <f t="shared" si="32"/>
        <v>high</v>
      </c>
      <c r="S383" s="1" t="str" cm="1">
        <f t="array" ref="S383">_xlfn.IFS(L383&gt;5,"high",L383=5,"medium",L383&lt;5,"low")</f>
        <v>high</v>
      </c>
      <c r="T383" s="5" t="str">
        <f t="shared" si="33"/>
        <v>high</v>
      </c>
      <c r="U383" s="1">
        <f t="shared" si="34"/>
        <v>3227.04</v>
      </c>
      <c r="V383" t="str">
        <f t="shared" si="35"/>
        <v>Normal</v>
      </c>
      <c r="W383" t="str" cm="1">
        <f t="array" ref="W383">_xlfn.IFS(O383&gt;=7000,"Excellent",O383&gt;=4000,"Good",O383&lt;4000,"Average")</f>
        <v>Average</v>
      </c>
    </row>
    <row r="384" spans="1:23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30"/>
        <v>456.65100000000001</v>
      </c>
      <c r="Q384" s="1">
        <f t="shared" si="31"/>
        <v>2587.6890000000003</v>
      </c>
      <c r="R384" s="1" t="str">
        <f t="shared" si="32"/>
        <v>low</v>
      </c>
      <c r="S384" s="1" t="str" cm="1">
        <f t="array" ref="S384">_xlfn.IFS(L384&gt;5,"high",L384=5,"medium",L384&lt;5,"low")</f>
        <v>low</v>
      </c>
      <c r="T384" s="5" t="str">
        <f t="shared" si="33"/>
        <v>low</v>
      </c>
      <c r="U384" s="1">
        <f t="shared" si="34"/>
        <v>3581.58</v>
      </c>
      <c r="V384" t="str">
        <f t="shared" si="35"/>
        <v>Heavy</v>
      </c>
      <c r="W384" t="str" cm="1">
        <f t="array" ref="W384">_xlfn.IFS(O384&gt;=7000,"Excellent",O384&gt;=4000,"Good",O384&lt;4000,"Average")</f>
        <v>Average</v>
      </c>
    </row>
    <row r="385" spans="1:23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30"/>
        <v>1548.5440000000001</v>
      </c>
      <c r="Q385" s="1">
        <f t="shared" si="31"/>
        <v>6194.1760000000004</v>
      </c>
      <c r="R385" s="1" t="str">
        <f t="shared" si="32"/>
        <v>high</v>
      </c>
      <c r="S385" s="1" t="str" cm="1">
        <f t="array" ref="S385">_xlfn.IFS(L385&gt;5,"high",L385=5,"medium",L385&lt;5,"low")</f>
        <v>medium</v>
      </c>
      <c r="T385" s="5" t="str">
        <f t="shared" si="33"/>
        <v>medium</v>
      </c>
      <c r="U385" s="1">
        <f t="shared" si="34"/>
        <v>9678.4</v>
      </c>
      <c r="V385" t="str">
        <f t="shared" si="35"/>
        <v>Heavy</v>
      </c>
      <c r="W385" t="str" cm="1">
        <f t="array" ref="W385">_xlfn.IFS(O385&gt;=7000,"Excellent",O385&gt;=4000,"Good",O385&lt;4000,"Average")</f>
        <v>Excellent</v>
      </c>
    </row>
    <row r="386" spans="1:23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30"/>
        <v>373.17</v>
      </c>
      <c r="Q386" s="1">
        <f t="shared" si="31"/>
        <v>3358.5299999999997</v>
      </c>
      <c r="R386" s="1" t="str">
        <f t="shared" si="32"/>
        <v>low</v>
      </c>
      <c r="S386" s="1" t="str" cm="1">
        <f t="array" ref="S386">_xlfn.IFS(L386&gt;5,"high",L386=5,"medium",L386&lt;5,"low")</f>
        <v>low</v>
      </c>
      <c r="T386" s="5" t="str">
        <f t="shared" si="33"/>
        <v>low</v>
      </c>
      <c r="U386" s="1">
        <f t="shared" si="34"/>
        <v>4146.33</v>
      </c>
      <c r="V386" t="str">
        <f t="shared" si="35"/>
        <v>Normal</v>
      </c>
      <c r="W386" t="str" cm="1">
        <f t="array" ref="W386">_xlfn.IFS(O386&gt;=7000,"Excellent",O386&gt;=4000,"Good",O386&lt;4000,"Average")</f>
        <v>Average</v>
      </c>
    </row>
    <row r="387" spans="1:23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6">O387*N387%</f>
        <v>357.18800000000005</v>
      </c>
      <c r="Q387" s="1">
        <f t="shared" ref="Q387:Q450" si="37">O387-P387</f>
        <v>3214.692</v>
      </c>
      <c r="R387" s="1" t="str">
        <f t="shared" ref="R387:R450" si="38">IF(L387&gt;=5,"high","low")</f>
        <v>low</v>
      </c>
      <c r="S387" s="1" t="str" cm="1">
        <f t="array" ref="S387">_xlfn.IFS(L387&gt;5,"high",L387=5,"medium",L387&lt;5,"low")</f>
        <v>low</v>
      </c>
      <c r="T387" s="5" t="str">
        <f t="shared" ref="T387:T450" si="39">IF(L387&gt;5,"high",IF(L387=5,"medium","low"))</f>
        <v>low</v>
      </c>
      <c r="U387" s="1">
        <f t="shared" ref="U387:U450" si="40">L387*M387</f>
        <v>3968.76</v>
      </c>
      <c r="V387" t="str">
        <f t="shared" ref="V387:V450" si="41">IF(N387&gt;10,"Heavy","Normal")</f>
        <v>Normal</v>
      </c>
      <c r="W387" t="str" cm="1">
        <f t="array" ref="W387">_xlfn.IFS(O387&gt;=7000,"Excellent",O387&gt;=4000,"Good",O387&lt;4000,"Average")</f>
        <v>Average</v>
      </c>
    </row>
    <row r="388" spans="1:23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6"/>
        <v>1402.98</v>
      </c>
      <c r="Q388" s="1">
        <f t="shared" si="37"/>
        <v>7950.2200000000012</v>
      </c>
      <c r="R388" s="1" t="str">
        <f t="shared" si="38"/>
        <v>high</v>
      </c>
      <c r="S388" s="1" t="str" cm="1">
        <f t="array" ref="S388">_xlfn.IFS(L388&gt;5,"high",L388=5,"medium",L388&lt;5,"low")</f>
        <v>high</v>
      </c>
      <c r="T388" s="5" t="str">
        <f t="shared" si="39"/>
        <v>high</v>
      </c>
      <c r="U388" s="1">
        <f t="shared" si="40"/>
        <v>11003.76</v>
      </c>
      <c r="V388" t="str">
        <f t="shared" si="41"/>
        <v>Heavy</v>
      </c>
      <c r="W388" t="str" cm="1">
        <f t="array" ref="W388">_xlfn.IFS(O388&gt;=7000,"Excellent",O388&gt;=4000,"Good",O388&lt;4000,"Average")</f>
        <v>Excellent</v>
      </c>
    </row>
    <row r="389" spans="1:23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6"/>
        <v>548.85299999999995</v>
      </c>
      <c r="Q389" s="1">
        <f t="shared" si="37"/>
        <v>4939.6769999999997</v>
      </c>
      <c r="R389" s="1" t="str">
        <f t="shared" si="38"/>
        <v>low</v>
      </c>
      <c r="S389" s="1" t="str" cm="1">
        <f t="array" ref="S389">_xlfn.IFS(L389&gt;5,"high",L389=5,"medium",L389&lt;5,"low")</f>
        <v>low</v>
      </c>
      <c r="T389" s="5" t="str">
        <f t="shared" si="39"/>
        <v>low</v>
      </c>
      <c r="U389" s="1">
        <f t="shared" si="40"/>
        <v>6098.37</v>
      </c>
      <c r="V389" t="str">
        <f t="shared" si="41"/>
        <v>Normal</v>
      </c>
      <c r="W389" t="str" cm="1">
        <f t="array" ref="W389">_xlfn.IFS(O389&gt;=7000,"Excellent",O389&gt;=4000,"Good",O389&lt;4000,"Average")</f>
        <v>Good</v>
      </c>
    </row>
    <row r="390" spans="1:23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6"/>
        <v>0</v>
      </c>
      <c r="Q390" s="1">
        <f t="shared" si="37"/>
        <v>24215.03</v>
      </c>
      <c r="R390" s="1" t="str">
        <f t="shared" si="38"/>
        <v>high</v>
      </c>
      <c r="S390" s="1" t="str" cm="1">
        <f t="array" ref="S390">_xlfn.IFS(L390&gt;5,"high",L390=5,"medium",L390&lt;5,"low")</f>
        <v>high</v>
      </c>
      <c r="T390" s="5" t="str">
        <f t="shared" si="39"/>
        <v>high</v>
      </c>
      <c r="U390" s="1">
        <f t="shared" si="40"/>
        <v>24215.03</v>
      </c>
      <c r="V390" t="str">
        <f t="shared" si="41"/>
        <v>Normal</v>
      </c>
      <c r="W390" t="str" cm="1">
        <f t="array" ref="W390">_xlfn.IFS(O390&gt;=7000,"Excellent",O390&gt;=4000,"Good",O390&lt;4000,"Average")</f>
        <v>Excellent</v>
      </c>
    </row>
    <row r="391" spans="1:23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6"/>
        <v>309.87149999999997</v>
      </c>
      <c r="Q391" s="1">
        <f t="shared" si="37"/>
        <v>1755.9385</v>
      </c>
      <c r="R391" s="1" t="str">
        <f t="shared" si="38"/>
        <v>low</v>
      </c>
      <c r="S391" s="1" t="str" cm="1">
        <f t="array" ref="S391">_xlfn.IFS(L391&gt;5,"high",L391=5,"medium",L391&lt;5,"low")</f>
        <v>low</v>
      </c>
      <c r="T391" s="5" t="str">
        <f t="shared" si="39"/>
        <v>low</v>
      </c>
      <c r="U391" s="1">
        <f t="shared" si="40"/>
        <v>2430.36</v>
      </c>
      <c r="V391" t="str">
        <f t="shared" si="41"/>
        <v>Heavy</v>
      </c>
      <c r="W391" t="str" cm="1">
        <f t="array" ref="W391">_xlfn.IFS(O391&gt;=7000,"Excellent",O391&gt;=4000,"Good",O391&lt;4000,"Average")</f>
        <v>Average</v>
      </c>
    </row>
    <row r="392" spans="1:23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6"/>
        <v>0</v>
      </c>
      <c r="Q392" s="1">
        <f t="shared" si="37"/>
        <v>16946.52</v>
      </c>
      <c r="R392" s="1" t="str">
        <f t="shared" si="38"/>
        <v>high</v>
      </c>
      <c r="S392" s="1" t="str" cm="1">
        <f t="array" ref="S392">_xlfn.IFS(L392&gt;5,"high",L392=5,"medium",L392&lt;5,"low")</f>
        <v>high</v>
      </c>
      <c r="T392" s="5" t="str">
        <f t="shared" si="39"/>
        <v>high</v>
      </c>
      <c r="U392" s="1">
        <f t="shared" si="40"/>
        <v>16946.52</v>
      </c>
      <c r="V392" t="str">
        <f t="shared" si="41"/>
        <v>Normal</v>
      </c>
      <c r="W392" t="str" cm="1">
        <f t="array" ref="W392">_xlfn.IFS(O392&gt;=7000,"Excellent",O392&gt;=4000,"Good",O392&lt;4000,"Average")</f>
        <v>Excellent</v>
      </c>
    </row>
    <row r="393" spans="1:23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6"/>
        <v>594.39750000000004</v>
      </c>
      <c r="Q393" s="1">
        <f t="shared" si="37"/>
        <v>3368.2525000000001</v>
      </c>
      <c r="R393" s="1" t="str">
        <f t="shared" si="38"/>
        <v>low</v>
      </c>
      <c r="S393" s="1" t="str" cm="1">
        <f t="array" ref="S393">_xlfn.IFS(L393&gt;5,"high",L393=5,"medium",L393&lt;5,"low")</f>
        <v>low</v>
      </c>
      <c r="T393" s="5" t="str">
        <f t="shared" si="39"/>
        <v>low</v>
      </c>
      <c r="U393" s="1">
        <f t="shared" si="40"/>
        <v>4661.9400000000005</v>
      </c>
      <c r="V393" t="str">
        <f t="shared" si="41"/>
        <v>Heavy</v>
      </c>
      <c r="W393" t="str" cm="1">
        <f t="array" ref="W393">_xlfn.IFS(O393&gt;=7000,"Excellent",O393&gt;=4000,"Good",O393&lt;4000,"Average")</f>
        <v>Average</v>
      </c>
    </row>
    <row r="394" spans="1:23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6"/>
        <v>2155.1400000000003</v>
      </c>
      <c r="Q394" s="1">
        <f t="shared" si="37"/>
        <v>19396.260000000002</v>
      </c>
      <c r="R394" s="1" t="str">
        <f t="shared" si="38"/>
        <v>high</v>
      </c>
      <c r="S394" s="1" t="str" cm="1">
        <f t="array" ref="S394">_xlfn.IFS(L394&gt;5,"high",L394=5,"medium",L394&lt;5,"low")</f>
        <v>high</v>
      </c>
      <c r="T394" s="5" t="str">
        <f t="shared" si="39"/>
        <v>high</v>
      </c>
      <c r="U394" s="1">
        <f t="shared" si="40"/>
        <v>23946</v>
      </c>
      <c r="V394" t="str">
        <f t="shared" si="41"/>
        <v>Normal</v>
      </c>
      <c r="W394" t="str" cm="1">
        <f t="array" ref="W394">_xlfn.IFS(O394&gt;=7000,"Excellent",O394&gt;=4000,"Good",O394&lt;4000,"Average")</f>
        <v>Excellent</v>
      </c>
    </row>
    <row r="395" spans="1:23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6"/>
        <v>0</v>
      </c>
      <c r="Q395" s="1">
        <f t="shared" si="37"/>
        <v>16298.88</v>
      </c>
      <c r="R395" s="1" t="str">
        <f t="shared" si="38"/>
        <v>high</v>
      </c>
      <c r="S395" s="1" t="str" cm="1">
        <f t="array" ref="S395">_xlfn.IFS(L395&gt;5,"high",L395=5,"medium",L395&lt;5,"low")</f>
        <v>high</v>
      </c>
      <c r="T395" s="5" t="str">
        <f t="shared" si="39"/>
        <v>high</v>
      </c>
      <c r="U395" s="1">
        <f t="shared" si="40"/>
        <v>16298.880000000001</v>
      </c>
      <c r="V395" t="str">
        <f t="shared" si="41"/>
        <v>Normal</v>
      </c>
      <c r="W395" t="str" cm="1">
        <f t="array" ref="W395">_xlfn.IFS(O395&gt;=7000,"Excellent",O395&gt;=4000,"Good",O395&lt;4000,"Average")</f>
        <v>Excellent</v>
      </c>
    </row>
    <row r="396" spans="1:23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6"/>
        <v>109.85599999999999</v>
      </c>
      <c r="Q396" s="1">
        <f t="shared" si="37"/>
        <v>988.70399999999995</v>
      </c>
      <c r="R396" s="1" t="str">
        <f t="shared" si="38"/>
        <v>low</v>
      </c>
      <c r="S396" s="1" t="str" cm="1">
        <f t="array" ref="S396">_xlfn.IFS(L396&gt;5,"high",L396=5,"medium",L396&lt;5,"low")</f>
        <v>low</v>
      </c>
      <c r="T396" s="5" t="str">
        <f t="shared" si="39"/>
        <v>low</v>
      </c>
      <c r="U396" s="1">
        <f t="shared" si="40"/>
        <v>1220.6199999999999</v>
      </c>
      <c r="V396" t="str">
        <f t="shared" si="41"/>
        <v>Normal</v>
      </c>
      <c r="W396" t="str" cm="1">
        <f t="array" ref="W396">_xlfn.IFS(O396&gt;=7000,"Excellent",O396&gt;=4000,"Good",O396&lt;4000,"Average")</f>
        <v>Average</v>
      </c>
    </row>
    <row r="397" spans="1:23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6"/>
        <v>1801.3229999999999</v>
      </c>
      <c r="Q397" s="1">
        <f t="shared" si="37"/>
        <v>10207.496999999999</v>
      </c>
      <c r="R397" s="1" t="str">
        <f t="shared" si="38"/>
        <v>high</v>
      </c>
      <c r="S397" s="1" t="str" cm="1">
        <f t="array" ref="S397">_xlfn.IFS(L397&gt;5,"high",L397=5,"medium",L397&lt;5,"low")</f>
        <v>high</v>
      </c>
      <c r="T397" s="5" t="str">
        <f t="shared" si="39"/>
        <v>high</v>
      </c>
      <c r="U397" s="1">
        <f t="shared" si="40"/>
        <v>14128.02</v>
      </c>
      <c r="V397" t="str">
        <f t="shared" si="41"/>
        <v>Heavy</v>
      </c>
      <c r="W397" t="str" cm="1">
        <f t="array" ref="W397">_xlfn.IFS(O397&gt;=7000,"Excellent",O397&gt;=4000,"Good",O397&lt;4000,"Average")</f>
        <v>Excellent</v>
      </c>
    </row>
    <row r="398" spans="1:23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6"/>
        <v>717.23</v>
      </c>
      <c r="Q398" s="1">
        <f t="shared" si="37"/>
        <v>6455.07</v>
      </c>
      <c r="R398" s="1" t="str">
        <f t="shared" si="38"/>
        <v>high</v>
      </c>
      <c r="S398" s="1" t="str" cm="1">
        <f t="array" ref="S398">_xlfn.IFS(L398&gt;5,"high",L398=5,"medium",L398&lt;5,"low")</f>
        <v>high</v>
      </c>
      <c r="T398" s="5" t="str">
        <f t="shared" si="39"/>
        <v>high</v>
      </c>
      <c r="U398" s="1">
        <f t="shared" si="40"/>
        <v>7969.22</v>
      </c>
      <c r="V398" t="str">
        <f t="shared" si="41"/>
        <v>Normal</v>
      </c>
      <c r="W398" t="str" cm="1">
        <f t="array" ref="W398">_xlfn.IFS(O398&gt;=7000,"Excellent",O398&gt;=4000,"Good",O398&lt;4000,"Average")</f>
        <v>Excellent</v>
      </c>
    </row>
    <row r="399" spans="1:23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6"/>
        <v>0</v>
      </c>
      <c r="Q399" s="1">
        <f t="shared" si="37"/>
        <v>16228.85</v>
      </c>
      <c r="R399" s="1" t="str">
        <f t="shared" si="38"/>
        <v>high</v>
      </c>
      <c r="S399" s="1" t="str" cm="1">
        <f t="array" ref="S399">_xlfn.IFS(L399&gt;5,"high",L399=5,"medium",L399&lt;5,"low")</f>
        <v>medium</v>
      </c>
      <c r="T399" s="5" t="str">
        <f t="shared" si="39"/>
        <v>medium</v>
      </c>
      <c r="U399" s="1">
        <f t="shared" si="40"/>
        <v>16228.85</v>
      </c>
      <c r="V399" t="str">
        <f t="shared" si="41"/>
        <v>Normal</v>
      </c>
      <c r="W399" t="str" cm="1">
        <f t="array" ref="W399">_xlfn.IFS(O399&gt;=7000,"Excellent",O399&gt;=4000,"Good",O399&lt;4000,"Average")</f>
        <v>Excellent</v>
      </c>
    </row>
    <row r="400" spans="1:23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6"/>
        <v>0</v>
      </c>
      <c r="Q400" s="1">
        <f t="shared" si="37"/>
        <v>5369.58</v>
      </c>
      <c r="R400" s="1" t="str">
        <f t="shared" si="38"/>
        <v>low</v>
      </c>
      <c r="S400" s="1" t="str" cm="1">
        <f t="array" ref="S400">_xlfn.IFS(L400&gt;5,"high",L400=5,"medium",L400&lt;5,"low")</f>
        <v>low</v>
      </c>
      <c r="T400" s="5" t="str">
        <f t="shared" si="39"/>
        <v>low</v>
      </c>
      <c r="U400" s="1">
        <f t="shared" si="40"/>
        <v>5369.58</v>
      </c>
      <c r="V400" t="str">
        <f t="shared" si="41"/>
        <v>Normal</v>
      </c>
      <c r="W400" t="str" cm="1">
        <f t="array" ref="W400">_xlfn.IFS(O400&gt;=7000,"Excellent",O400&gt;=4000,"Good",O400&lt;4000,"Average")</f>
        <v>Good</v>
      </c>
    </row>
    <row r="401" spans="1:23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6"/>
        <v>1432.6310000000001</v>
      </c>
      <c r="Q401" s="1">
        <f t="shared" si="37"/>
        <v>12893.679</v>
      </c>
      <c r="R401" s="1" t="str">
        <f t="shared" si="38"/>
        <v>low</v>
      </c>
      <c r="S401" s="1" t="str" cm="1">
        <f t="array" ref="S401">_xlfn.IFS(L401&gt;5,"high",L401=5,"medium",L401&lt;5,"low")</f>
        <v>low</v>
      </c>
      <c r="T401" s="5" t="str">
        <f t="shared" si="39"/>
        <v>low</v>
      </c>
      <c r="U401" s="1">
        <f t="shared" si="40"/>
        <v>15918.12</v>
      </c>
      <c r="V401" t="str">
        <f t="shared" si="41"/>
        <v>Normal</v>
      </c>
      <c r="W401" t="str" cm="1">
        <f t="array" ref="W401">_xlfn.IFS(O401&gt;=7000,"Excellent",O401&gt;=4000,"Good",O401&lt;4000,"Average")</f>
        <v>Excellent</v>
      </c>
    </row>
    <row r="402" spans="1:23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6"/>
        <v>96.164500000000004</v>
      </c>
      <c r="Q402" s="1">
        <f t="shared" si="37"/>
        <v>1827.1254999999999</v>
      </c>
      <c r="R402" s="1" t="str">
        <f t="shared" si="38"/>
        <v>low</v>
      </c>
      <c r="S402" s="1" t="str" cm="1">
        <f t="array" ref="S402">_xlfn.IFS(L402&gt;5,"high",L402=5,"medium",L402&lt;5,"low")</f>
        <v>low</v>
      </c>
      <c r="T402" s="5" t="str">
        <f t="shared" si="39"/>
        <v>low</v>
      </c>
      <c r="U402" s="1">
        <f t="shared" si="40"/>
        <v>2024.52</v>
      </c>
      <c r="V402" t="str">
        <f t="shared" si="41"/>
        <v>Normal</v>
      </c>
      <c r="W402" t="str" cm="1">
        <f t="array" ref="W402">_xlfn.IFS(O402&gt;=7000,"Excellent",O402&gt;=4000,"Good",O402&lt;4000,"Average")</f>
        <v>Average</v>
      </c>
    </row>
    <row r="403" spans="1:23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6"/>
        <v>2413.0694999999996</v>
      </c>
      <c r="Q403" s="1">
        <f t="shared" si="37"/>
        <v>13674.0605</v>
      </c>
      <c r="R403" s="1" t="str">
        <f t="shared" si="38"/>
        <v>high</v>
      </c>
      <c r="S403" s="1" t="str" cm="1">
        <f t="array" ref="S403">_xlfn.IFS(L403&gt;5,"high",L403=5,"medium",L403&lt;5,"low")</f>
        <v>high</v>
      </c>
      <c r="T403" s="5" t="str">
        <f t="shared" si="39"/>
        <v>high</v>
      </c>
      <c r="U403" s="1">
        <f t="shared" si="40"/>
        <v>18926.04</v>
      </c>
      <c r="V403" t="str">
        <f t="shared" si="41"/>
        <v>Heavy</v>
      </c>
      <c r="W403" t="str" cm="1">
        <f t="array" ref="W403">_xlfn.IFS(O403&gt;=7000,"Excellent",O403&gt;=4000,"Good",O403&lt;4000,"Average")</f>
        <v>Excellent</v>
      </c>
    </row>
    <row r="404" spans="1:23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6"/>
        <v>349.82850000000002</v>
      </c>
      <c r="Q404" s="1">
        <f t="shared" si="37"/>
        <v>1982.3615</v>
      </c>
      <c r="R404" s="1" t="str">
        <f t="shared" si="38"/>
        <v>low</v>
      </c>
      <c r="S404" s="1" t="str" cm="1">
        <f t="array" ref="S404">_xlfn.IFS(L404&gt;5,"high",L404=5,"medium",L404&lt;5,"low")</f>
        <v>low</v>
      </c>
      <c r="T404" s="5" t="str">
        <f t="shared" si="39"/>
        <v>low</v>
      </c>
      <c r="U404" s="1">
        <f t="shared" si="40"/>
        <v>2743.75</v>
      </c>
      <c r="V404" t="str">
        <f t="shared" si="41"/>
        <v>Heavy</v>
      </c>
      <c r="W404" t="str" cm="1">
        <f t="array" ref="W404">_xlfn.IFS(O404&gt;=7000,"Excellent",O404&gt;=4000,"Good",O404&lt;4000,"Average")</f>
        <v>Average</v>
      </c>
    </row>
    <row r="405" spans="1:23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6"/>
        <v>1117.7530000000002</v>
      </c>
      <c r="Q405" s="1">
        <f t="shared" si="37"/>
        <v>10059.777</v>
      </c>
      <c r="R405" s="1" t="str">
        <f t="shared" si="38"/>
        <v>low</v>
      </c>
      <c r="S405" s="1" t="str" cm="1">
        <f t="array" ref="S405">_xlfn.IFS(L405&gt;5,"high",L405=5,"medium",L405&lt;5,"low")</f>
        <v>low</v>
      </c>
      <c r="T405" s="5" t="str">
        <f t="shared" si="39"/>
        <v>low</v>
      </c>
      <c r="U405" s="1">
        <f t="shared" si="40"/>
        <v>12419.48</v>
      </c>
      <c r="V405" t="str">
        <f t="shared" si="41"/>
        <v>Normal</v>
      </c>
      <c r="W405" t="str" cm="1">
        <f t="array" ref="W405">_xlfn.IFS(O405&gt;=7000,"Excellent",O405&gt;=4000,"Good",O405&lt;4000,"Average")</f>
        <v>Excellent</v>
      </c>
    </row>
    <row r="406" spans="1:23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6"/>
        <v>253.458</v>
      </c>
      <c r="Q406" s="1">
        <f t="shared" si="37"/>
        <v>4815.7020000000002</v>
      </c>
      <c r="R406" s="1" t="str">
        <f t="shared" si="38"/>
        <v>low</v>
      </c>
      <c r="S406" s="1" t="str" cm="1">
        <f t="array" ref="S406">_xlfn.IFS(L406&gt;5,"high",L406=5,"medium",L406&lt;5,"low")</f>
        <v>low</v>
      </c>
      <c r="T406" s="5" t="str">
        <f t="shared" si="39"/>
        <v>low</v>
      </c>
      <c r="U406" s="1">
        <f t="shared" si="40"/>
        <v>5335.96</v>
      </c>
      <c r="V406" t="str">
        <f t="shared" si="41"/>
        <v>Normal</v>
      </c>
      <c r="W406" t="str" cm="1">
        <f t="array" ref="W406">_xlfn.IFS(O406&gt;=7000,"Excellent",O406&gt;=4000,"Good",O406&lt;4000,"Average")</f>
        <v>Good</v>
      </c>
    </row>
    <row r="407" spans="1:23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6"/>
        <v>0</v>
      </c>
      <c r="Q407" s="1">
        <f t="shared" si="37"/>
        <v>2044.41</v>
      </c>
      <c r="R407" s="1" t="str">
        <f t="shared" si="38"/>
        <v>low</v>
      </c>
      <c r="S407" s="1" t="str" cm="1">
        <f t="array" ref="S407">_xlfn.IFS(L407&gt;5,"high",L407=5,"medium",L407&lt;5,"low")</f>
        <v>low</v>
      </c>
      <c r="T407" s="5" t="str">
        <f t="shared" si="39"/>
        <v>low</v>
      </c>
      <c r="U407" s="1">
        <f t="shared" si="40"/>
        <v>2044.41</v>
      </c>
      <c r="V407" t="str">
        <f t="shared" si="41"/>
        <v>Normal</v>
      </c>
      <c r="W407" t="str" cm="1">
        <f t="array" ref="W407">_xlfn.IFS(O407&gt;=7000,"Excellent",O407&gt;=4000,"Good",O407&lt;4000,"Average")</f>
        <v>Average</v>
      </c>
    </row>
    <row r="408" spans="1:23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6"/>
        <v>4631.8460000000005</v>
      </c>
      <c r="Q408" s="1">
        <f t="shared" si="37"/>
        <v>18527.383999999998</v>
      </c>
      <c r="R408" s="1" t="str">
        <f t="shared" si="38"/>
        <v>high</v>
      </c>
      <c r="S408" s="1" t="str" cm="1">
        <f t="array" ref="S408">_xlfn.IFS(L408&gt;5,"high",L408=5,"medium",L408&lt;5,"low")</f>
        <v>high</v>
      </c>
      <c r="T408" s="5" t="str">
        <f t="shared" si="39"/>
        <v>high</v>
      </c>
      <c r="U408" s="1">
        <f t="shared" si="40"/>
        <v>28949.040000000001</v>
      </c>
      <c r="V408" t="str">
        <f t="shared" si="41"/>
        <v>Heavy</v>
      </c>
      <c r="W408" t="str" cm="1">
        <f t="array" ref="W408">_xlfn.IFS(O408&gt;=7000,"Excellent",O408&gt;=4000,"Good",O408&lt;4000,"Average")</f>
        <v>Excellent</v>
      </c>
    </row>
    <row r="409" spans="1:23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6"/>
        <v>668.98</v>
      </c>
      <c r="Q409" s="1">
        <f t="shared" si="37"/>
        <v>2675.92</v>
      </c>
      <c r="R409" s="1" t="str">
        <f t="shared" si="38"/>
        <v>low</v>
      </c>
      <c r="S409" s="1" t="str" cm="1">
        <f t="array" ref="S409">_xlfn.IFS(L409&gt;5,"high",L409=5,"medium",L409&lt;5,"low")</f>
        <v>low</v>
      </c>
      <c r="T409" s="5" t="str">
        <f t="shared" si="39"/>
        <v>low</v>
      </c>
      <c r="U409" s="1">
        <f t="shared" si="40"/>
        <v>4181.12</v>
      </c>
      <c r="V409" t="str">
        <f t="shared" si="41"/>
        <v>Heavy</v>
      </c>
      <c r="W409" t="str" cm="1">
        <f t="array" ref="W409">_xlfn.IFS(O409&gt;=7000,"Excellent",O409&gt;=4000,"Good",O409&lt;4000,"Average")</f>
        <v>Average</v>
      </c>
    </row>
    <row r="410" spans="1:23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6"/>
        <v>642.745</v>
      </c>
      <c r="Q410" s="1">
        <f t="shared" si="37"/>
        <v>5784.7049999999999</v>
      </c>
      <c r="R410" s="1" t="str">
        <f t="shared" si="38"/>
        <v>high</v>
      </c>
      <c r="S410" s="1" t="str" cm="1">
        <f t="array" ref="S410">_xlfn.IFS(L410&gt;5,"high",L410=5,"medium",L410&lt;5,"low")</f>
        <v>high</v>
      </c>
      <c r="T410" s="5" t="str">
        <f t="shared" si="39"/>
        <v>high</v>
      </c>
      <c r="U410" s="1">
        <f t="shared" si="40"/>
        <v>7141.6100000000006</v>
      </c>
      <c r="V410" t="str">
        <f t="shared" si="41"/>
        <v>Normal</v>
      </c>
      <c r="W410" t="str" cm="1">
        <f t="array" ref="W410">_xlfn.IFS(O410&gt;=7000,"Excellent",O410&gt;=4000,"Good",O410&lt;4000,"Average")</f>
        <v>Good</v>
      </c>
    </row>
    <row r="411" spans="1:23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6"/>
        <v>323.69600000000003</v>
      </c>
      <c r="Q411" s="1">
        <f t="shared" si="37"/>
        <v>6150.2240000000002</v>
      </c>
      <c r="R411" s="1" t="str">
        <f t="shared" si="38"/>
        <v>low</v>
      </c>
      <c r="S411" s="1" t="str" cm="1">
        <f t="array" ref="S411">_xlfn.IFS(L411&gt;5,"high",L411=5,"medium",L411&lt;5,"low")</f>
        <v>low</v>
      </c>
      <c r="T411" s="5" t="str">
        <f t="shared" si="39"/>
        <v>low</v>
      </c>
      <c r="U411" s="1">
        <f t="shared" si="40"/>
        <v>6814.6500000000005</v>
      </c>
      <c r="V411" t="str">
        <f t="shared" si="41"/>
        <v>Normal</v>
      </c>
      <c r="W411" t="str" cm="1">
        <f t="array" ref="W411">_xlfn.IFS(O411&gt;=7000,"Excellent",O411&gt;=4000,"Good",O411&lt;4000,"Average")</f>
        <v>Good</v>
      </c>
    </row>
    <row r="412" spans="1:23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6"/>
        <v>308.61500000000001</v>
      </c>
      <c r="Q412" s="1">
        <f t="shared" si="37"/>
        <v>5863.6850000000004</v>
      </c>
      <c r="R412" s="1" t="str">
        <f t="shared" si="38"/>
        <v>low</v>
      </c>
      <c r="S412" s="1" t="str" cm="1">
        <f t="array" ref="S412">_xlfn.IFS(L412&gt;5,"high",L412=5,"medium",L412&lt;5,"low")</f>
        <v>low</v>
      </c>
      <c r="T412" s="5" t="str">
        <f t="shared" si="39"/>
        <v>low</v>
      </c>
      <c r="U412" s="1">
        <f t="shared" si="40"/>
        <v>6497.16</v>
      </c>
      <c r="V412" t="str">
        <f t="shared" si="41"/>
        <v>Normal</v>
      </c>
      <c r="W412" t="str" cm="1">
        <f t="array" ref="W412">_xlfn.IFS(O412&gt;=7000,"Excellent",O412&gt;=4000,"Good",O412&lt;4000,"Average")</f>
        <v>Good</v>
      </c>
    </row>
    <row r="413" spans="1:23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6"/>
        <v>1261.4444999999998</v>
      </c>
      <c r="Q413" s="1">
        <f t="shared" si="37"/>
        <v>7148.1854999999996</v>
      </c>
      <c r="R413" s="1" t="str">
        <f t="shared" si="38"/>
        <v>high</v>
      </c>
      <c r="S413" s="1" t="str" cm="1">
        <f t="array" ref="S413">_xlfn.IFS(L413&gt;5,"high",L413=5,"medium",L413&lt;5,"low")</f>
        <v>high</v>
      </c>
      <c r="T413" s="5" t="str">
        <f t="shared" si="39"/>
        <v>high</v>
      </c>
      <c r="U413" s="1">
        <f t="shared" si="40"/>
        <v>9893.68</v>
      </c>
      <c r="V413" t="str">
        <f t="shared" si="41"/>
        <v>Heavy</v>
      </c>
      <c r="W413" t="str" cm="1">
        <f t="array" ref="W413">_xlfn.IFS(O413&gt;=7000,"Excellent",O413&gt;=4000,"Good",O413&lt;4000,"Average")</f>
        <v>Excellent</v>
      </c>
    </row>
    <row r="414" spans="1:23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6"/>
        <v>0</v>
      </c>
      <c r="Q414" s="1">
        <f t="shared" si="37"/>
        <v>10380.719999999999</v>
      </c>
      <c r="R414" s="1" t="str">
        <f t="shared" si="38"/>
        <v>high</v>
      </c>
      <c r="S414" s="1" t="str" cm="1">
        <f t="array" ref="S414">_xlfn.IFS(L414&gt;5,"high",L414=5,"medium",L414&lt;5,"low")</f>
        <v>high</v>
      </c>
      <c r="T414" s="5" t="str">
        <f t="shared" si="39"/>
        <v>high</v>
      </c>
      <c r="U414" s="1">
        <f t="shared" si="40"/>
        <v>10380.719999999999</v>
      </c>
      <c r="V414" t="str">
        <f t="shared" si="41"/>
        <v>Normal</v>
      </c>
      <c r="W414" t="str" cm="1">
        <f t="array" ref="W414">_xlfn.IFS(O414&gt;=7000,"Excellent",O414&gt;=4000,"Good",O414&lt;4000,"Average")</f>
        <v>Excellent</v>
      </c>
    </row>
    <row r="415" spans="1:23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6"/>
        <v>57.935500000000005</v>
      </c>
      <c r="Q415" s="1">
        <f t="shared" si="37"/>
        <v>1100.7745</v>
      </c>
      <c r="R415" s="1" t="str">
        <f t="shared" si="38"/>
        <v>low</v>
      </c>
      <c r="S415" s="1" t="str" cm="1">
        <f t="array" ref="S415">_xlfn.IFS(L415&gt;5,"high",L415=5,"medium",L415&lt;5,"low")</f>
        <v>low</v>
      </c>
      <c r="T415" s="5" t="str">
        <f t="shared" si="39"/>
        <v>low</v>
      </c>
      <c r="U415" s="1">
        <f t="shared" si="40"/>
        <v>1219.7</v>
      </c>
      <c r="V415" t="str">
        <f t="shared" si="41"/>
        <v>Normal</v>
      </c>
      <c r="W415" t="str" cm="1">
        <f t="array" ref="W415">_xlfn.IFS(O415&gt;=7000,"Excellent",O415&gt;=4000,"Good",O415&lt;4000,"Average")</f>
        <v>Average</v>
      </c>
    </row>
    <row r="416" spans="1:23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6"/>
        <v>998.50200000000007</v>
      </c>
      <c r="Q416" s="1">
        <f t="shared" si="37"/>
        <v>3994.0080000000003</v>
      </c>
      <c r="R416" s="1" t="str">
        <f t="shared" si="38"/>
        <v>low</v>
      </c>
      <c r="S416" s="1" t="str" cm="1">
        <f t="array" ref="S416">_xlfn.IFS(L416&gt;5,"high",L416=5,"medium",L416&lt;5,"low")</f>
        <v>low</v>
      </c>
      <c r="T416" s="5" t="str">
        <f t="shared" si="39"/>
        <v>low</v>
      </c>
      <c r="U416" s="1">
        <f t="shared" si="40"/>
        <v>6240.64</v>
      </c>
      <c r="V416" t="str">
        <f t="shared" si="41"/>
        <v>Heavy</v>
      </c>
      <c r="W416" t="str" cm="1">
        <f t="array" ref="W416">_xlfn.IFS(O416&gt;=7000,"Excellent",O416&gt;=4000,"Good",O416&lt;4000,"Average")</f>
        <v>Good</v>
      </c>
    </row>
    <row r="417" spans="1:23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6"/>
        <v>0</v>
      </c>
      <c r="Q417" s="1">
        <f t="shared" si="37"/>
        <v>21278.560000000001</v>
      </c>
      <c r="R417" s="1" t="str">
        <f t="shared" si="38"/>
        <v>high</v>
      </c>
      <c r="S417" s="1" t="str" cm="1">
        <f t="array" ref="S417">_xlfn.IFS(L417&gt;5,"high",L417=5,"medium",L417&lt;5,"low")</f>
        <v>high</v>
      </c>
      <c r="T417" s="5" t="str">
        <f t="shared" si="39"/>
        <v>high</v>
      </c>
      <c r="U417" s="1">
        <f t="shared" si="40"/>
        <v>21278.560000000001</v>
      </c>
      <c r="V417" t="str">
        <f t="shared" si="41"/>
        <v>Normal</v>
      </c>
      <c r="W417" t="str" cm="1">
        <f t="array" ref="W417">_xlfn.IFS(O417&gt;=7000,"Excellent",O417&gt;=4000,"Good",O417&lt;4000,"Average")</f>
        <v>Excellent</v>
      </c>
    </row>
    <row r="418" spans="1:23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6"/>
        <v>0</v>
      </c>
      <c r="Q418" s="1">
        <f t="shared" si="37"/>
        <v>3354.81</v>
      </c>
      <c r="R418" s="1" t="str">
        <f t="shared" si="38"/>
        <v>low</v>
      </c>
      <c r="S418" s="1" t="str" cm="1">
        <f t="array" ref="S418">_xlfn.IFS(L418&gt;5,"high",L418=5,"medium",L418&lt;5,"low")</f>
        <v>low</v>
      </c>
      <c r="T418" s="5" t="str">
        <f t="shared" si="39"/>
        <v>low</v>
      </c>
      <c r="U418" s="1">
        <f t="shared" si="40"/>
        <v>3354.81</v>
      </c>
      <c r="V418" t="str">
        <f t="shared" si="41"/>
        <v>Normal</v>
      </c>
      <c r="W418" t="str" cm="1">
        <f t="array" ref="W418">_xlfn.IFS(O418&gt;=7000,"Excellent",O418&gt;=4000,"Good",O418&lt;4000,"Average")</f>
        <v>Average</v>
      </c>
    </row>
    <row r="419" spans="1:23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6"/>
        <v>2812.01</v>
      </c>
      <c r="Q419" s="1">
        <f t="shared" si="37"/>
        <v>25308.089999999997</v>
      </c>
      <c r="R419" s="1" t="str">
        <f t="shared" si="38"/>
        <v>high</v>
      </c>
      <c r="S419" s="1" t="str" cm="1">
        <f t="array" ref="S419">_xlfn.IFS(L419&gt;5,"high",L419=5,"medium",L419&lt;5,"low")</f>
        <v>high</v>
      </c>
      <c r="T419" s="5" t="str">
        <f t="shared" si="39"/>
        <v>high</v>
      </c>
      <c r="U419" s="1">
        <f t="shared" si="40"/>
        <v>31244.560000000001</v>
      </c>
      <c r="V419" t="str">
        <f t="shared" si="41"/>
        <v>Normal</v>
      </c>
      <c r="W419" t="str" cm="1">
        <f t="array" ref="W419">_xlfn.IFS(O419&gt;=7000,"Excellent",O419&gt;=4000,"Good",O419&lt;4000,"Average")</f>
        <v>Excellent</v>
      </c>
    </row>
    <row r="420" spans="1:23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6"/>
        <v>750.70150000000012</v>
      </c>
      <c r="Q420" s="1">
        <f t="shared" si="37"/>
        <v>14263.3285</v>
      </c>
      <c r="R420" s="1" t="str">
        <f t="shared" si="38"/>
        <v>high</v>
      </c>
      <c r="S420" s="1" t="str" cm="1">
        <f t="array" ref="S420">_xlfn.IFS(L420&gt;5,"high",L420=5,"medium",L420&lt;5,"low")</f>
        <v>high</v>
      </c>
      <c r="T420" s="5" t="str">
        <f t="shared" si="39"/>
        <v>high</v>
      </c>
      <c r="U420" s="1">
        <f t="shared" si="40"/>
        <v>15804.24</v>
      </c>
      <c r="V420" t="str">
        <f t="shared" si="41"/>
        <v>Normal</v>
      </c>
      <c r="W420" t="str" cm="1">
        <f t="array" ref="W420">_xlfn.IFS(O420&gt;=7000,"Excellent",O420&gt;=4000,"Good",O420&lt;4000,"Average")</f>
        <v>Excellent</v>
      </c>
    </row>
    <row r="421" spans="1:23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6"/>
        <v>73.219000000000008</v>
      </c>
      <c r="Q421" s="1">
        <f t="shared" si="37"/>
        <v>658.971</v>
      </c>
      <c r="R421" s="1" t="str">
        <f t="shared" si="38"/>
        <v>low</v>
      </c>
      <c r="S421" s="1" t="str" cm="1">
        <f t="array" ref="S421">_xlfn.IFS(L421&gt;5,"high",L421=5,"medium",L421&lt;5,"low")</f>
        <v>low</v>
      </c>
      <c r="T421" s="5" t="str">
        <f t="shared" si="39"/>
        <v>low</v>
      </c>
      <c r="U421" s="1">
        <f t="shared" si="40"/>
        <v>813.54</v>
      </c>
      <c r="V421" t="str">
        <f t="shared" si="41"/>
        <v>Normal</v>
      </c>
      <c r="W421" t="str" cm="1">
        <f t="array" ref="W421">_xlfn.IFS(O421&gt;=7000,"Excellent",O421&gt;=4000,"Good",O421&lt;4000,"Average")</f>
        <v>Average</v>
      </c>
    </row>
    <row r="422" spans="1:23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6"/>
        <v>63.680499999999995</v>
      </c>
      <c r="Q422" s="1">
        <f t="shared" si="37"/>
        <v>1209.9295</v>
      </c>
      <c r="R422" s="1" t="str">
        <f t="shared" si="38"/>
        <v>low</v>
      </c>
      <c r="S422" s="1" t="str" cm="1">
        <f t="array" ref="S422">_xlfn.IFS(L422&gt;5,"high",L422=5,"medium",L422&lt;5,"low")</f>
        <v>low</v>
      </c>
      <c r="T422" s="5" t="str">
        <f t="shared" si="39"/>
        <v>low</v>
      </c>
      <c r="U422" s="1">
        <f t="shared" si="40"/>
        <v>1340.64</v>
      </c>
      <c r="V422" t="str">
        <f t="shared" si="41"/>
        <v>Normal</v>
      </c>
      <c r="W422" t="str" cm="1">
        <f t="array" ref="W422">_xlfn.IFS(O422&gt;=7000,"Excellent",O422&gt;=4000,"Good",O422&lt;4000,"Average")</f>
        <v>Average</v>
      </c>
    </row>
    <row r="423" spans="1:23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6"/>
        <v>985.55700000000002</v>
      </c>
      <c r="Q423" s="1">
        <f t="shared" si="37"/>
        <v>5584.8230000000003</v>
      </c>
      <c r="R423" s="1" t="str">
        <f t="shared" si="38"/>
        <v>high</v>
      </c>
      <c r="S423" s="1" t="str" cm="1">
        <f t="array" ref="S423">_xlfn.IFS(L423&gt;5,"high",L423=5,"medium",L423&lt;5,"low")</f>
        <v>high</v>
      </c>
      <c r="T423" s="5" t="str">
        <f t="shared" si="39"/>
        <v>high</v>
      </c>
      <c r="U423" s="1">
        <f t="shared" si="40"/>
        <v>7729.86</v>
      </c>
      <c r="V423" t="str">
        <f t="shared" si="41"/>
        <v>Heavy</v>
      </c>
      <c r="W423" t="str" cm="1">
        <f t="array" ref="W423">_xlfn.IFS(O423&gt;=7000,"Excellent",O423&gt;=4000,"Good",O423&lt;4000,"Average")</f>
        <v>Good</v>
      </c>
    </row>
    <row r="424" spans="1:23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6"/>
        <v>3029.643</v>
      </c>
      <c r="Q424" s="1">
        <f t="shared" si="37"/>
        <v>27266.787</v>
      </c>
      <c r="R424" s="1" t="str">
        <f t="shared" si="38"/>
        <v>high</v>
      </c>
      <c r="S424" s="1" t="str" cm="1">
        <f t="array" ref="S424">_xlfn.IFS(L424&gt;5,"high",L424=5,"medium",L424&lt;5,"low")</f>
        <v>high</v>
      </c>
      <c r="T424" s="5" t="str">
        <f t="shared" si="39"/>
        <v>high</v>
      </c>
      <c r="U424" s="1">
        <f t="shared" si="40"/>
        <v>33662.700000000004</v>
      </c>
      <c r="V424" t="str">
        <f t="shared" si="41"/>
        <v>Normal</v>
      </c>
      <c r="W424" t="str" cm="1">
        <f t="array" ref="W424">_xlfn.IFS(O424&gt;=7000,"Excellent",O424&gt;=4000,"Good",O424&lt;4000,"Average")</f>
        <v>Excellent</v>
      </c>
    </row>
    <row r="425" spans="1:23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6"/>
        <v>1558.346</v>
      </c>
      <c r="Q425" s="1">
        <f t="shared" si="37"/>
        <v>14025.114</v>
      </c>
      <c r="R425" s="1" t="str">
        <f t="shared" si="38"/>
        <v>high</v>
      </c>
      <c r="S425" s="1" t="str" cm="1">
        <f t="array" ref="S425">_xlfn.IFS(L425&gt;5,"high",L425=5,"medium",L425&lt;5,"low")</f>
        <v>high</v>
      </c>
      <c r="T425" s="5" t="str">
        <f t="shared" si="39"/>
        <v>high</v>
      </c>
      <c r="U425" s="1">
        <f t="shared" si="40"/>
        <v>17314.96</v>
      </c>
      <c r="V425" t="str">
        <f t="shared" si="41"/>
        <v>Normal</v>
      </c>
      <c r="W425" t="str" cm="1">
        <f t="array" ref="W425">_xlfn.IFS(O425&gt;=7000,"Excellent",O425&gt;=4000,"Good",O425&lt;4000,"Average")</f>
        <v>Excellent</v>
      </c>
    </row>
    <row r="426" spans="1:23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6"/>
        <v>1531.366</v>
      </c>
      <c r="Q426" s="1">
        <f t="shared" si="37"/>
        <v>6125.4639999999999</v>
      </c>
      <c r="R426" s="1" t="str">
        <f t="shared" si="38"/>
        <v>high</v>
      </c>
      <c r="S426" s="1" t="str" cm="1">
        <f t="array" ref="S426">_xlfn.IFS(L426&gt;5,"high",L426=5,"medium",L426&lt;5,"low")</f>
        <v>high</v>
      </c>
      <c r="T426" s="5" t="str">
        <f t="shared" si="39"/>
        <v>high</v>
      </c>
      <c r="U426" s="1">
        <f t="shared" si="40"/>
        <v>9571.0400000000009</v>
      </c>
      <c r="V426" t="str">
        <f t="shared" si="41"/>
        <v>Heavy</v>
      </c>
      <c r="W426" t="str" cm="1">
        <f t="array" ref="W426">_xlfn.IFS(O426&gt;=7000,"Excellent",O426&gt;=4000,"Good",O426&lt;4000,"Average")</f>
        <v>Excellent</v>
      </c>
    </row>
    <row r="427" spans="1:23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6"/>
        <v>1062.6780000000001</v>
      </c>
      <c r="Q427" s="1">
        <f t="shared" si="37"/>
        <v>9564.1020000000008</v>
      </c>
      <c r="R427" s="1" t="str">
        <f t="shared" si="38"/>
        <v>high</v>
      </c>
      <c r="S427" s="1" t="str" cm="1">
        <f t="array" ref="S427">_xlfn.IFS(L427&gt;5,"high",L427=5,"medium",L427&lt;5,"low")</f>
        <v>high</v>
      </c>
      <c r="T427" s="5" t="str">
        <f t="shared" si="39"/>
        <v>high</v>
      </c>
      <c r="U427" s="1">
        <f t="shared" si="40"/>
        <v>11807.529999999999</v>
      </c>
      <c r="V427" t="str">
        <f t="shared" si="41"/>
        <v>Normal</v>
      </c>
      <c r="W427" t="str" cm="1">
        <f t="array" ref="W427">_xlfn.IFS(O427&gt;=7000,"Excellent",O427&gt;=4000,"Good",O427&lt;4000,"Average")</f>
        <v>Excellent</v>
      </c>
    </row>
    <row r="428" spans="1:23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6"/>
        <v>1049.3370000000002</v>
      </c>
      <c r="Q428" s="1">
        <f t="shared" si="37"/>
        <v>19937.403000000002</v>
      </c>
      <c r="R428" s="1" t="str">
        <f t="shared" si="38"/>
        <v>high</v>
      </c>
      <c r="S428" s="1" t="str" cm="1">
        <f t="array" ref="S428">_xlfn.IFS(L428&gt;5,"high",L428=5,"medium",L428&lt;5,"low")</f>
        <v>high</v>
      </c>
      <c r="T428" s="5" t="str">
        <f t="shared" si="39"/>
        <v>high</v>
      </c>
      <c r="U428" s="1">
        <f t="shared" si="40"/>
        <v>22091.31</v>
      </c>
      <c r="V428" t="str">
        <f t="shared" si="41"/>
        <v>Normal</v>
      </c>
      <c r="W428" t="str" cm="1">
        <f t="array" ref="W428">_xlfn.IFS(O428&gt;=7000,"Excellent",O428&gt;=4000,"Good",O428&lt;4000,"Average")</f>
        <v>Excellent</v>
      </c>
    </row>
    <row r="429" spans="1:23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6"/>
        <v>852.43600000000015</v>
      </c>
      <c r="Q429" s="1">
        <f t="shared" si="37"/>
        <v>3409.7440000000001</v>
      </c>
      <c r="R429" s="1" t="str">
        <f t="shared" si="38"/>
        <v>low</v>
      </c>
      <c r="S429" s="1" t="str" cm="1">
        <f t="array" ref="S429">_xlfn.IFS(L429&gt;5,"high",L429=5,"medium",L429&lt;5,"low")</f>
        <v>low</v>
      </c>
      <c r="T429" s="5" t="str">
        <f t="shared" si="39"/>
        <v>low</v>
      </c>
      <c r="U429" s="1">
        <f t="shared" si="40"/>
        <v>5327.72</v>
      </c>
      <c r="V429" t="str">
        <f t="shared" si="41"/>
        <v>Heavy</v>
      </c>
      <c r="W429" t="str" cm="1">
        <f t="array" ref="W429">_xlfn.IFS(O429&gt;=7000,"Excellent",O429&gt;=4000,"Good",O429&lt;4000,"Average")</f>
        <v>Good</v>
      </c>
    </row>
    <row r="430" spans="1:23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6"/>
        <v>200.49900000000002</v>
      </c>
      <c r="Q430" s="1">
        <f t="shared" si="37"/>
        <v>1804.491</v>
      </c>
      <c r="R430" s="1" t="str">
        <f t="shared" si="38"/>
        <v>low</v>
      </c>
      <c r="S430" s="1" t="str" cm="1">
        <f t="array" ref="S430">_xlfn.IFS(L430&gt;5,"high",L430=5,"medium",L430&lt;5,"low")</f>
        <v>low</v>
      </c>
      <c r="T430" s="5" t="str">
        <f t="shared" si="39"/>
        <v>low</v>
      </c>
      <c r="U430" s="1">
        <f t="shared" si="40"/>
        <v>2227.77</v>
      </c>
      <c r="V430" t="str">
        <f t="shared" si="41"/>
        <v>Normal</v>
      </c>
      <c r="W430" t="str" cm="1">
        <f t="array" ref="W430">_xlfn.IFS(O430&gt;=7000,"Excellent",O430&gt;=4000,"Good",O430&lt;4000,"Average")</f>
        <v>Average</v>
      </c>
    </row>
    <row r="431" spans="1:23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6"/>
        <v>2816.33</v>
      </c>
      <c r="Q431" s="1">
        <f t="shared" si="37"/>
        <v>25346.97</v>
      </c>
      <c r="R431" s="1" t="str">
        <f t="shared" si="38"/>
        <v>high</v>
      </c>
      <c r="S431" s="1" t="str" cm="1">
        <f t="array" ref="S431">_xlfn.IFS(L431&gt;5,"high",L431=5,"medium",L431&lt;5,"low")</f>
        <v>high</v>
      </c>
      <c r="T431" s="5" t="str">
        <f t="shared" si="39"/>
        <v>high</v>
      </c>
      <c r="U431" s="1">
        <f t="shared" si="40"/>
        <v>31292.560000000001</v>
      </c>
      <c r="V431" t="str">
        <f t="shared" si="41"/>
        <v>Normal</v>
      </c>
      <c r="W431" t="str" cm="1">
        <f t="array" ref="W431">_xlfn.IFS(O431&gt;=7000,"Excellent",O431&gt;=4000,"Good",O431&lt;4000,"Average")</f>
        <v>Excellent</v>
      </c>
    </row>
    <row r="432" spans="1:23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6"/>
        <v>1719.2384999999999</v>
      </c>
      <c r="Q432" s="1">
        <f t="shared" si="37"/>
        <v>9742.3515000000007</v>
      </c>
      <c r="R432" s="1" t="str">
        <f t="shared" si="38"/>
        <v>high</v>
      </c>
      <c r="S432" s="1" t="str" cm="1">
        <f t="array" ref="S432">_xlfn.IFS(L432&gt;5,"high",L432=5,"medium",L432&lt;5,"low")</f>
        <v>high</v>
      </c>
      <c r="T432" s="5" t="str">
        <f t="shared" si="39"/>
        <v>high</v>
      </c>
      <c r="U432" s="1">
        <f t="shared" si="40"/>
        <v>13484.22</v>
      </c>
      <c r="V432" t="str">
        <f t="shared" si="41"/>
        <v>Heavy</v>
      </c>
      <c r="W432" t="str" cm="1">
        <f t="array" ref="W432">_xlfn.IFS(O432&gt;=7000,"Excellent",O432&gt;=4000,"Good",O432&lt;4000,"Average")</f>
        <v>Excellent</v>
      </c>
    </row>
    <row r="433" spans="1:23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6"/>
        <v>544.64400000000001</v>
      </c>
      <c r="Q433" s="1">
        <f t="shared" si="37"/>
        <v>4901.7959999999994</v>
      </c>
      <c r="R433" s="1" t="str">
        <f t="shared" si="38"/>
        <v>high</v>
      </c>
      <c r="S433" s="1" t="str" cm="1">
        <f t="array" ref="S433">_xlfn.IFS(L433&gt;5,"high",L433=5,"medium",L433&lt;5,"low")</f>
        <v>high</v>
      </c>
      <c r="T433" s="5" t="str">
        <f t="shared" si="39"/>
        <v>high</v>
      </c>
      <c r="U433" s="1">
        <f t="shared" si="40"/>
        <v>6051.5999999999995</v>
      </c>
      <c r="V433" t="str">
        <f t="shared" si="41"/>
        <v>Normal</v>
      </c>
      <c r="W433" t="str" cm="1">
        <f t="array" ref="W433">_xlfn.IFS(O433&gt;=7000,"Excellent",O433&gt;=4000,"Good",O433&lt;4000,"Average")</f>
        <v>Good</v>
      </c>
    </row>
    <row r="434" spans="1:23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6"/>
        <v>0</v>
      </c>
      <c r="Q434" s="1">
        <f t="shared" si="37"/>
        <v>14362</v>
      </c>
      <c r="R434" s="1" t="str">
        <f t="shared" si="38"/>
        <v>low</v>
      </c>
      <c r="S434" s="1" t="str" cm="1">
        <f t="array" ref="S434">_xlfn.IFS(L434&gt;5,"high",L434=5,"medium",L434&lt;5,"low")</f>
        <v>low</v>
      </c>
      <c r="T434" s="5" t="str">
        <f t="shared" si="39"/>
        <v>low</v>
      </c>
      <c r="U434" s="1">
        <f t="shared" si="40"/>
        <v>14362</v>
      </c>
      <c r="V434" t="str">
        <f t="shared" si="41"/>
        <v>Normal</v>
      </c>
      <c r="W434" t="str" cm="1">
        <f t="array" ref="W434">_xlfn.IFS(O434&gt;=7000,"Excellent",O434&gt;=4000,"Good",O434&lt;4000,"Average")</f>
        <v>Excellent</v>
      </c>
    </row>
    <row r="435" spans="1:23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6"/>
        <v>559.82000000000005</v>
      </c>
      <c r="Q435" s="1">
        <f t="shared" si="37"/>
        <v>2239.2799999999997</v>
      </c>
      <c r="R435" s="1" t="str">
        <f t="shared" si="38"/>
        <v>high</v>
      </c>
      <c r="S435" s="1" t="str" cm="1">
        <f t="array" ref="S435">_xlfn.IFS(L435&gt;5,"high",L435=5,"medium",L435&lt;5,"low")</f>
        <v>high</v>
      </c>
      <c r="T435" s="5" t="str">
        <f t="shared" si="39"/>
        <v>high</v>
      </c>
      <c r="U435" s="1">
        <f t="shared" si="40"/>
        <v>3498.88</v>
      </c>
      <c r="V435" t="str">
        <f t="shared" si="41"/>
        <v>Heavy</v>
      </c>
      <c r="W435" t="str" cm="1">
        <f t="array" ref="W435">_xlfn.IFS(O435&gt;=7000,"Excellent",O435&gt;=4000,"Good",O435&lt;4000,"Average")</f>
        <v>Average</v>
      </c>
    </row>
    <row r="436" spans="1:23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6"/>
        <v>0</v>
      </c>
      <c r="Q436" s="1">
        <f t="shared" si="37"/>
        <v>10934.34</v>
      </c>
      <c r="R436" s="1" t="str">
        <f t="shared" si="38"/>
        <v>low</v>
      </c>
      <c r="S436" s="1" t="str" cm="1">
        <f t="array" ref="S436">_xlfn.IFS(L436&gt;5,"high",L436=5,"medium",L436&lt;5,"low")</f>
        <v>low</v>
      </c>
      <c r="T436" s="5" t="str">
        <f t="shared" si="39"/>
        <v>low</v>
      </c>
      <c r="U436" s="1">
        <f t="shared" si="40"/>
        <v>10934.34</v>
      </c>
      <c r="V436" t="str">
        <f t="shared" si="41"/>
        <v>Normal</v>
      </c>
      <c r="W436" t="str" cm="1">
        <f t="array" ref="W436">_xlfn.IFS(O436&gt;=7000,"Excellent",O436&gt;=4000,"Good",O436&lt;4000,"Average")</f>
        <v>Excellent</v>
      </c>
    </row>
    <row r="437" spans="1:23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6"/>
        <v>1913.6540000000002</v>
      </c>
      <c r="Q437" s="1">
        <f t="shared" si="37"/>
        <v>7654.616</v>
      </c>
      <c r="R437" s="1" t="str">
        <f t="shared" si="38"/>
        <v>low</v>
      </c>
      <c r="S437" s="1" t="str" cm="1">
        <f t="array" ref="S437">_xlfn.IFS(L437&gt;5,"high",L437=5,"medium",L437&lt;5,"low")</f>
        <v>low</v>
      </c>
      <c r="T437" s="5" t="str">
        <f t="shared" si="39"/>
        <v>low</v>
      </c>
      <c r="U437" s="1">
        <f t="shared" si="40"/>
        <v>11960.34</v>
      </c>
      <c r="V437" t="str">
        <f t="shared" si="41"/>
        <v>Heavy</v>
      </c>
      <c r="W437" t="str" cm="1">
        <f t="array" ref="W437">_xlfn.IFS(O437&gt;=7000,"Excellent",O437&gt;=4000,"Good",O437&lt;4000,"Average")</f>
        <v>Excellent</v>
      </c>
    </row>
    <row r="438" spans="1:23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6"/>
        <v>2903.5934999999999</v>
      </c>
      <c r="Q438" s="1">
        <f t="shared" si="37"/>
        <v>16453.696500000002</v>
      </c>
      <c r="R438" s="1" t="str">
        <f t="shared" si="38"/>
        <v>high</v>
      </c>
      <c r="S438" s="1" t="str" cm="1">
        <f t="array" ref="S438">_xlfn.IFS(L438&gt;5,"high",L438=5,"medium",L438&lt;5,"low")</f>
        <v>high</v>
      </c>
      <c r="T438" s="5" t="str">
        <f t="shared" si="39"/>
        <v>high</v>
      </c>
      <c r="U438" s="1">
        <f t="shared" si="40"/>
        <v>22773.279999999999</v>
      </c>
      <c r="V438" t="str">
        <f t="shared" si="41"/>
        <v>Heavy</v>
      </c>
      <c r="W438" t="str" cm="1">
        <f t="array" ref="W438">_xlfn.IFS(O438&gt;=7000,"Excellent",O438&gt;=4000,"Good",O438&lt;4000,"Average")</f>
        <v>Excellent</v>
      </c>
    </row>
    <row r="439" spans="1:23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6"/>
        <v>1402.299</v>
      </c>
      <c r="Q439" s="1">
        <f t="shared" si="37"/>
        <v>12620.690999999999</v>
      </c>
      <c r="R439" s="1" t="str">
        <f t="shared" si="38"/>
        <v>high</v>
      </c>
      <c r="S439" s="1" t="str" cm="1">
        <f t="array" ref="S439">_xlfn.IFS(L439&gt;5,"high",L439=5,"medium",L439&lt;5,"low")</f>
        <v>medium</v>
      </c>
      <c r="T439" s="5" t="str">
        <f t="shared" si="39"/>
        <v>medium</v>
      </c>
      <c r="U439" s="1">
        <f t="shared" si="40"/>
        <v>15581.099999999999</v>
      </c>
      <c r="V439" t="str">
        <f t="shared" si="41"/>
        <v>Normal</v>
      </c>
      <c r="W439" t="str" cm="1">
        <f t="array" ref="W439">_xlfn.IFS(O439&gt;=7000,"Excellent",O439&gt;=4000,"Good",O439&lt;4000,"Average")</f>
        <v>Excellent</v>
      </c>
    </row>
    <row r="440" spans="1:23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6"/>
        <v>391.12700000000001</v>
      </c>
      <c r="Q440" s="1">
        <f t="shared" si="37"/>
        <v>3520.143</v>
      </c>
      <c r="R440" s="1" t="str">
        <f t="shared" si="38"/>
        <v>low</v>
      </c>
      <c r="S440" s="1" t="str" cm="1">
        <f t="array" ref="S440">_xlfn.IFS(L440&gt;5,"high",L440=5,"medium",L440&lt;5,"low")</f>
        <v>low</v>
      </c>
      <c r="T440" s="5" t="str">
        <f t="shared" si="39"/>
        <v>low</v>
      </c>
      <c r="U440" s="1">
        <f t="shared" si="40"/>
        <v>4345.8599999999997</v>
      </c>
      <c r="V440" t="str">
        <f t="shared" si="41"/>
        <v>Normal</v>
      </c>
      <c r="W440" t="str" cm="1">
        <f t="array" ref="W440">_xlfn.IFS(O440&gt;=7000,"Excellent",O440&gt;=4000,"Good",O440&lt;4000,"Average")</f>
        <v>Average</v>
      </c>
    </row>
    <row r="441" spans="1:23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6"/>
        <v>339.75600000000003</v>
      </c>
      <c r="Q441" s="1">
        <f t="shared" si="37"/>
        <v>3057.8040000000001</v>
      </c>
      <c r="R441" s="1" t="str">
        <f t="shared" si="38"/>
        <v>low</v>
      </c>
      <c r="S441" s="1" t="str" cm="1">
        <f t="array" ref="S441">_xlfn.IFS(L441&gt;5,"high",L441=5,"medium",L441&lt;5,"low")</f>
        <v>low</v>
      </c>
      <c r="T441" s="5" t="str">
        <f t="shared" si="39"/>
        <v>low</v>
      </c>
      <c r="U441" s="1">
        <f t="shared" si="40"/>
        <v>3775.07</v>
      </c>
      <c r="V441" t="str">
        <f t="shared" si="41"/>
        <v>Normal</v>
      </c>
      <c r="W441" t="str" cm="1">
        <f t="array" ref="W441">_xlfn.IFS(O441&gt;=7000,"Excellent",O441&gt;=4000,"Good",O441&lt;4000,"Average")</f>
        <v>Average</v>
      </c>
    </row>
    <row r="442" spans="1:23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6"/>
        <v>1050.912</v>
      </c>
      <c r="Q442" s="1">
        <f t="shared" si="37"/>
        <v>4203.6480000000001</v>
      </c>
      <c r="R442" s="1" t="str">
        <f t="shared" si="38"/>
        <v>low</v>
      </c>
      <c r="S442" s="1" t="str" cm="1">
        <f t="array" ref="S442">_xlfn.IFS(L442&gt;5,"high",L442=5,"medium",L442&lt;5,"low")</f>
        <v>low</v>
      </c>
      <c r="T442" s="5" t="str">
        <f t="shared" si="39"/>
        <v>low</v>
      </c>
      <c r="U442" s="1">
        <f t="shared" si="40"/>
        <v>6568.2000000000007</v>
      </c>
      <c r="V442" t="str">
        <f t="shared" si="41"/>
        <v>Heavy</v>
      </c>
      <c r="W442" t="str" cm="1">
        <f t="array" ref="W442">_xlfn.IFS(O442&gt;=7000,"Excellent",O442&gt;=4000,"Good",O442&lt;4000,"Average")</f>
        <v>Good</v>
      </c>
    </row>
    <row r="443" spans="1:23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6"/>
        <v>2405.4569999999999</v>
      </c>
      <c r="Q443" s="1">
        <f t="shared" si="37"/>
        <v>21649.113000000001</v>
      </c>
      <c r="R443" s="1" t="str">
        <f t="shared" si="38"/>
        <v>high</v>
      </c>
      <c r="S443" s="1" t="str" cm="1">
        <f t="array" ref="S443">_xlfn.IFS(L443&gt;5,"high",L443=5,"medium",L443&lt;5,"low")</f>
        <v>high</v>
      </c>
      <c r="T443" s="5" t="str">
        <f t="shared" si="39"/>
        <v>high</v>
      </c>
      <c r="U443" s="1">
        <f t="shared" si="40"/>
        <v>26727.3</v>
      </c>
      <c r="V443" t="str">
        <f t="shared" si="41"/>
        <v>Normal</v>
      </c>
      <c r="W443" t="str" cm="1">
        <f t="array" ref="W443">_xlfn.IFS(O443&gt;=7000,"Excellent",O443&gt;=4000,"Good",O443&lt;4000,"Average")</f>
        <v>Excellent</v>
      </c>
    </row>
    <row r="444" spans="1:23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6"/>
        <v>0</v>
      </c>
      <c r="Q444" s="1">
        <f t="shared" si="37"/>
        <v>18539.05</v>
      </c>
      <c r="R444" s="1" t="str">
        <f t="shared" si="38"/>
        <v>high</v>
      </c>
      <c r="S444" s="1" t="str" cm="1">
        <f t="array" ref="S444">_xlfn.IFS(L444&gt;5,"high",L444=5,"medium",L444&lt;5,"low")</f>
        <v>medium</v>
      </c>
      <c r="T444" s="5" t="str">
        <f t="shared" si="39"/>
        <v>medium</v>
      </c>
      <c r="U444" s="1">
        <f t="shared" si="40"/>
        <v>18539.05</v>
      </c>
      <c r="V444" t="str">
        <f t="shared" si="41"/>
        <v>Normal</v>
      </c>
      <c r="W444" t="str" cm="1">
        <f t="array" ref="W444">_xlfn.IFS(O444&gt;=7000,"Excellent",O444&gt;=4000,"Good",O444&lt;4000,"Average")</f>
        <v>Excellent</v>
      </c>
    </row>
    <row r="445" spans="1:23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6"/>
        <v>702.79899999999998</v>
      </c>
      <c r="Q445" s="1">
        <f t="shared" si="37"/>
        <v>6325.1909999999998</v>
      </c>
      <c r="R445" s="1" t="str">
        <f t="shared" si="38"/>
        <v>low</v>
      </c>
      <c r="S445" s="1" t="str" cm="1">
        <f t="array" ref="S445">_xlfn.IFS(L445&gt;5,"high",L445=5,"medium",L445&lt;5,"low")</f>
        <v>low</v>
      </c>
      <c r="T445" s="5" t="str">
        <f t="shared" si="39"/>
        <v>low</v>
      </c>
      <c r="U445" s="1">
        <f t="shared" si="40"/>
        <v>7808.88</v>
      </c>
      <c r="V445" t="str">
        <f t="shared" si="41"/>
        <v>Normal</v>
      </c>
      <c r="W445" t="str" cm="1">
        <f t="array" ref="W445">_xlfn.IFS(O445&gt;=7000,"Excellent",O445&gt;=4000,"Good",O445&lt;4000,"Average")</f>
        <v>Excellent</v>
      </c>
    </row>
    <row r="446" spans="1:23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6"/>
        <v>2996.8724999999999</v>
      </c>
      <c r="Q446" s="1">
        <f t="shared" si="37"/>
        <v>16982.2775</v>
      </c>
      <c r="R446" s="1" t="str">
        <f t="shared" si="38"/>
        <v>high</v>
      </c>
      <c r="S446" s="1" t="str" cm="1">
        <f t="array" ref="S446">_xlfn.IFS(L446&gt;5,"high",L446=5,"medium",L446&lt;5,"low")</f>
        <v>high</v>
      </c>
      <c r="T446" s="5" t="str">
        <f t="shared" si="39"/>
        <v>high</v>
      </c>
      <c r="U446" s="1">
        <f t="shared" si="40"/>
        <v>23504.880000000001</v>
      </c>
      <c r="V446" t="str">
        <f t="shared" si="41"/>
        <v>Heavy</v>
      </c>
      <c r="W446" t="str" cm="1">
        <f t="array" ref="W446">_xlfn.IFS(O446&gt;=7000,"Excellent",O446&gt;=4000,"Good",O446&lt;4000,"Average")</f>
        <v>Excellent</v>
      </c>
    </row>
    <row r="447" spans="1:23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6"/>
        <v>0</v>
      </c>
      <c r="Q447" s="1">
        <f t="shared" si="37"/>
        <v>2633.24</v>
      </c>
      <c r="R447" s="1" t="str">
        <f t="shared" si="38"/>
        <v>low</v>
      </c>
      <c r="S447" s="1" t="str" cm="1">
        <f t="array" ref="S447">_xlfn.IFS(L447&gt;5,"high",L447=5,"medium",L447&lt;5,"low")</f>
        <v>low</v>
      </c>
      <c r="T447" s="5" t="str">
        <f t="shared" si="39"/>
        <v>low</v>
      </c>
      <c r="U447" s="1">
        <f t="shared" si="40"/>
        <v>2633.24</v>
      </c>
      <c r="V447" t="str">
        <f t="shared" si="41"/>
        <v>Normal</v>
      </c>
      <c r="W447" t="str" cm="1">
        <f t="array" ref="W447">_xlfn.IFS(O447&gt;=7000,"Excellent",O447&gt;=4000,"Good",O447&lt;4000,"Average")</f>
        <v>Average</v>
      </c>
    </row>
    <row r="448" spans="1:23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6"/>
        <v>1393.6360000000002</v>
      </c>
      <c r="Q448" s="1">
        <f t="shared" si="37"/>
        <v>12542.724</v>
      </c>
      <c r="R448" s="1" t="str">
        <f t="shared" si="38"/>
        <v>low</v>
      </c>
      <c r="S448" s="1" t="str" cm="1">
        <f t="array" ref="S448">_xlfn.IFS(L448&gt;5,"high",L448=5,"medium",L448&lt;5,"low")</f>
        <v>low</v>
      </c>
      <c r="T448" s="5" t="str">
        <f t="shared" si="39"/>
        <v>low</v>
      </c>
      <c r="U448" s="1">
        <f t="shared" si="40"/>
        <v>15484.84</v>
      </c>
      <c r="V448" t="str">
        <f t="shared" si="41"/>
        <v>Normal</v>
      </c>
      <c r="W448" t="str" cm="1">
        <f t="array" ref="W448">_xlfn.IFS(O448&gt;=7000,"Excellent",O448&gt;=4000,"Good",O448&lt;4000,"Average")</f>
        <v>Excellent</v>
      </c>
    </row>
    <row r="449" spans="1:23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6"/>
        <v>1618.0040000000001</v>
      </c>
      <c r="Q449" s="1">
        <f t="shared" si="37"/>
        <v>14562.036</v>
      </c>
      <c r="R449" s="1" t="str">
        <f t="shared" si="38"/>
        <v>high</v>
      </c>
      <c r="S449" s="1" t="str" cm="1">
        <f t="array" ref="S449">_xlfn.IFS(L449&gt;5,"high",L449=5,"medium",L449&lt;5,"low")</f>
        <v>high</v>
      </c>
      <c r="T449" s="5" t="str">
        <f t="shared" si="39"/>
        <v>high</v>
      </c>
      <c r="U449" s="1">
        <f t="shared" si="40"/>
        <v>17977.82</v>
      </c>
      <c r="V449" t="str">
        <f t="shared" si="41"/>
        <v>Normal</v>
      </c>
      <c r="W449" t="str" cm="1">
        <f t="array" ref="W449">_xlfn.IFS(O449&gt;=7000,"Excellent",O449&gt;=4000,"Good",O449&lt;4000,"Average")</f>
        <v>Excellent</v>
      </c>
    </row>
    <row r="450" spans="1:23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6"/>
        <v>709.26450000000011</v>
      </c>
      <c r="Q450" s="1">
        <f t="shared" si="37"/>
        <v>13476.025500000002</v>
      </c>
      <c r="R450" s="1" t="str">
        <f t="shared" si="38"/>
        <v>low</v>
      </c>
      <c r="S450" s="1" t="str" cm="1">
        <f t="array" ref="S450">_xlfn.IFS(L450&gt;5,"high",L450=5,"medium",L450&lt;5,"low")</f>
        <v>low</v>
      </c>
      <c r="T450" s="5" t="str">
        <f t="shared" si="39"/>
        <v>low</v>
      </c>
      <c r="U450" s="1">
        <f t="shared" si="40"/>
        <v>14931.88</v>
      </c>
      <c r="V450" t="str">
        <f t="shared" si="41"/>
        <v>Normal</v>
      </c>
      <c r="W450" t="str" cm="1">
        <f t="array" ref="W450">_xlfn.IFS(O450&gt;=7000,"Excellent",O450&gt;=4000,"Good",O450&lt;4000,"Average")</f>
        <v>Excellent</v>
      </c>
    </row>
    <row r="451" spans="1:23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42">O451*N451%</f>
        <v>3083.36</v>
      </c>
      <c r="Q451" s="1">
        <f t="shared" ref="Q451:Q501" si="43">O451-P451</f>
        <v>12333.439999999999</v>
      </c>
      <c r="R451" s="1" t="str">
        <f t="shared" ref="R451:R501" si="44">IF(L451&gt;=5,"high","low")</f>
        <v>high</v>
      </c>
      <c r="S451" s="1" t="str" cm="1">
        <f t="array" ref="S451">_xlfn.IFS(L451&gt;5,"high",L451=5,"medium",L451&lt;5,"low")</f>
        <v>high</v>
      </c>
      <c r="T451" s="5" t="str">
        <f t="shared" ref="T451:T501" si="45">IF(L451&gt;5,"high",IF(L451=5,"medium","low"))</f>
        <v>high</v>
      </c>
      <c r="U451" s="1">
        <f t="shared" ref="U451:U501" si="46">L451*M451</f>
        <v>19271</v>
      </c>
      <c r="V451" t="str">
        <f t="shared" ref="V451:V501" si="47">IF(N451&gt;10,"Heavy","Normal")</f>
        <v>Heavy</v>
      </c>
      <c r="W451" t="str" cm="1">
        <f t="array" ref="W451">_xlfn.IFS(O451&gt;=7000,"Excellent",O451&gt;=4000,"Good",O451&lt;4000,"Average")</f>
        <v>Excellent</v>
      </c>
    </row>
    <row r="452" spans="1:23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42"/>
        <v>0</v>
      </c>
      <c r="Q452" s="1">
        <f t="shared" si="43"/>
        <v>9330.09</v>
      </c>
      <c r="R452" s="1" t="str">
        <f t="shared" si="44"/>
        <v>high</v>
      </c>
      <c r="S452" s="1" t="str" cm="1">
        <f t="array" ref="S452">_xlfn.IFS(L452&gt;5,"high",L452=5,"medium",L452&lt;5,"low")</f>
        <v>high</v>
      </c>
      <c r="T452" s="5" t="str">
        <f t="shared" si="45"/>
        <v>high</v>
      </c>
      <c r="U452" s="1">
        <f t="shared" si="46"/>
        <v>9330.09</v>
      </c>
      <c r="V452" t="str">
        <f t="shared" si="47"/>
        <v>Normal</v>
      </c>
      <c r="W452" t="str" cm="1">
        <f t="array" ref="W452">_xlfn.IFS(O452&gt;=7000,"Excellent",O452&gt;=4000,"Good",O452&lt;4000,"Average")</f>
        <v>Excellent</v>
      </c>
    </row>
    <row r="453" spans="1:23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42"/>
        <v>74.792999999999992</v>
      </c>
      <c r="Q453" s="1">
        <f t="shared" si="43"/>
        <v>1421.067</v>
      </c>
      <c r="R453" s="1" t="str">
        <f t="shared" si="44"/>
        <v>low</v>
      </c>
      <c r="S453" s="1" t="str" cm="1">
        <f t="array" ref="S453">_xlfn.IFS(L453&gt;5,"high",L453=5,"medium",L453&lt;5,"low")</f>
        <v>low</v>
      </c>
      <c r="T453" s="5" t="str">
        <f t="shared" si="45"/>
        <v>low</v>
      </c>
      <c r="U453" s="1">
        <f t="shared" si="46"/>
        <v>1574.59</v>
      </c>
      <c r="V453" t="str">
        <f t="shared" si="47"/>
        <v>Normal</v>
      </c>
      <c r="W453" t="str" cm="1">
        <f t="array" ref="W453">_xlfn.IFS(O453&gt;=7000,"Excellent",O453&gt;=4000,"Good",O453&lt;4000,"Average")</f>
        <v>Average</v>
      </c>
    </row>
    <row r="454" spans="1:23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42"/>
        <v>1736.0295000000001</v>
      </c>
      <c r="Q454" s="1">
        <f t="shared" si="43"/>
        <v>9837.5005000000001</v>
      </c>
      <c r="R454" s="1" t="str">
        <f t="shared" si="44"/>
        <v>high</v>
      </c>
      <c r="S454" s="1" t="str" cm="1">
        <f t="array" ref="S454">_xlfn.IFS(L454&gt;5,"high",L454=5,"medium",L454&lt;5,"low")</f>
        <v>high</v>
      </c>
      <c r="T454" s="5" t="str">
        <f t="shared" si="45"/>
        <v>high</v>
      </c>
      <c r="U454" s="1">
        <f t="shared" si="46"/>
        <v>13615.920000000002</v>
      </c>
      <c r="V454" t="str">
        <f t="shared" si="47"/>
        <v>Heavy</v>
      </c>
      <c r="W454" t="str" cm="1">
        <f t="array" ref="W454">_xlfn.IFS(O454&gt;=7000,"Excellent",O454&gt;=4000,"Good",O454&lt;4000,"Average")</f>
        <v>Excellent</v>
      </c>
    </row>
    <row r="455" spans="1:23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42"/>
        <v>4595.8460000000005</v>
      </c>
      <c r="Q455" s="1">
        <f t="shared" si="43"/>
        <v>18383.383999999998</v>
      </c>
      <c r="R455" s="1" t="str">
        <f t="shared" si="44"/>
        <v>high</v>
      </c>
      <c r="S455" s="1" t="str" cm="1">
        <f t="array" ref="S455">_xlfn.IFS(L455&gt;5,"high",L455=5,"medium",L455&lt;5,"low")</f>
        <v>high</v>
      </c>
      <c r="T455" s="5" t="str">
        <f t="shared" si="45"/>
        <v>high</v>
      </c>
      <c r="U455" s="1">
        <f t="shared" si="46"/>
        <v>28724.04</v>
      </c>
      <c r="V455" t="str">
        <f t="shared" si="47"/>
        <v>Heavy</v>
      </c>
      <c r="W455" t="str" cm="1">
        <f t="array" ref="W455">_xlfn.IFS(O455&gt;=7000,"Excellent",O455&gt;=4000,"Good",O455&lt;4000,"Average")</f>
        <v>Excellent</v>
      </c>
    </row>
    <row r="456" spans="1:23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42"/>
        <v>0</v>
      </c>
      <c r="Q456" s="1">
        <f t="shared" si="43"/>
        <v>2748.46</v>
      </c>
      <c r="R456" s="1" t="str">
        <f t="shared" si="44"/>
        <v>low</v>
      </c>
      <c r="S456" s="1" t="str" cm="1">
        <f t="array" ref="S456">_xlfn.IFS(L456&gt;5,"high",L456=5,"medium",L456&lt;5,"low")</f>
        <v>low</v>
      </c>
      <c r="T456" s="5" t="str">
        <f t="shared" si="45"/>
        <v>low</v>
      </c>
      <c r="U456" s="1">
        <f t="shared" si="46"/>
        <v>2748.46</v>
      </c>
      <c r="V456" t="str">
        <f t="shared" si="47"/>
        <v>Normal</v>
      </c>
      <c r="W456" t="str" cm="1">
        <f t="array" ref="W456">_xlfn.IFS(O456&gt;=7000,"Excellent",O456&gt;=4000,"Good",O456&lt;4000,"Average")</f>
        <v>Average</v>
      </c>
    </row>
    <row r="457" spans="1:23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42"/>
        <v>643.12900000000002</v>
      </c>
      <c r="Q457" s="1">
        <f t="shared" si="43"/>
        <v>5788.1610000000001</v>
      </c>
      <c r="R457" s="1" t="str">
        <f t="shared" si="44"/>
        <v>low</v>
      </c>
      <c r="S457" s="1" t="str" cm="1">
        <f t="array" ref="S457">_xlfn.IFS(L457&gt;5,"high",L457=5,"medium",L457&lt;5,"low")</f>
        <v>low</v>
      </c>
      <c r="T457" s="5" t="str">
        <f t="shared" si="45"/>
        <v>low</v>
      </c>
      <c r="U457" s="1">
        <f t="shared" si="46"/>
        <v>7145.88</v>
      </c>
      <c r="V457" t="str">
        <f t="shared" si="47"/>
        <v>Normal</v>
      </c>
      <c r="W457" t="str" cm="1">
        <f t="array" ref="W457">_xlfn.IFS(O457&gt;=7000,"Excellent",O457&gt;=4000,"Good",O457&lt;4000,"Average")</f>
        <v>Good</v>
      </c>
    </row>
    <row r="458" spans="1:23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42"/>
        <v>0</v>
      </c>
      <c r="Q458" s="1">
        <f t="shared" si="43"/>
        <v>7403.3</v>
      </c>
      <c r="R458" s="1" t="str">
        <f t="shared" si="44"/>
        <v>high</v>
      </c>
      <c r="S458" s="1" t="str" cm="1">
        <f t="array" ref="S458">_xlfn.IFS(L458&gt;5,"high",L458=5,"medium",L458&lt;5,"low")</f>
        <v>medium</v>
      </c>
      <c r="T458" s="5" t="str">
        <f t="shared" si="45"/>
        <v>medium</v>
      </c>
      <c r="U458" s="1">
        <f t="shared" si="46"/>
        <v>7403.3</v>
      </c>
      <c r="V458" t="str">
        <f t="shared" si="47"/>
        <v>Normal</v>
      </c>
      <c r="W458" t="str" cm="1">
        <f t="array" ref="W458">_xlfn.IFS(O458&gt;=7000,"Excellent",O458&gt;=4000,"Good",O458&lt;4000,"Average")</f>
        <v>Excellent</v>
      </c>
    </row>
    <row r="459" spans="1:23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42"/>
        <v>2665.4750000000004</v>
      </c>
      <c r="Q459" s="1">
        <f t="shared" si="43"/>
        <v>23989.275000000001</v>
      </c>
      <c r="R459" s="1" t="str">
        <f t="shared" si="44"/>
        <v>high</v>
      </c>
      <c r="S459" s="1" t="str" cm="1">
        <f t="array" ref="S459">_xlfn.IFS(L459&gt;5,"high",L459=5,"medium",L459&lt;5,"low")</f>
        <v>high</v>
      </c>
      <c r="T459" s="5" t="str">
        <f t="shared" si="45"/>
        <v>high</v>
      </c>
      <c r="U459" s="1">
        <f t="shared" si="46"/>
        <v>29616.39</v>
      </c>
      <c r="V459" t="str">
        <f t="shared" si="47"/>
        <v>Normal</v>
      </c>
      <c r="W459" t="str" cm="1">
        <f t="array" ref="W459">_xlfn.IFS(O459&gt;=7000,"Excellent",O459&gt;=4000,"Good",O459&lt;4000,"Average")</f>
        <v>Excellent</v>
      </c>
    </row>
    <row r="460" spans="1:23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42"/>
        <v>1246.0160000000001</v>
      </c>
      <c r="Q460" s="1">
        <f t="shared" si="43"/>
        <v>4984.0640000000003</v>
      </c>
      <c r="R460" s="1" t="str">
        <f t="shared" si="44"/>
        <v>low</v>
      </c>
      <c r="S460" s="1" t="str" cm="1">
        <f t="array" ref="S460">_xlfn.IFS(L460&gt;5,"high",L460=5,"medium",L460&lt;5,"low")</f>
        <v>low</v>
      </c>
      <c r="T460" s="5" t="str">
        <f t="shared" si="45"/>
        <v>low</v>
      </c>
      <c r="U460" s="1">
        <f t="shared" si="46"/>
        <v>7787.6</v>
      </c>
      <c r="V460" t="str">
        <f t="shared" si="47"/>
        <v>Heavy</v>
      </c>
      <c r="W460" t="str" cm="1">
        <f t="array" ref="W460">_xlfn.IFS(O460&gt;=7000,"Excellent",O460&gt;=4000,"Good",O460&lt;4000,"Average")</f>
        <v>Good</v>
      </c>
    </row>
    <row r="461" spans="1:23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42"/>
        <v>40.084000000000003</v>
      </c>
      <c r="Q461" s="1">
        <f t="shared" si="43"/>
        <v>360.75599999999997</v>
      </c>
      <c r="R461" s="1" t="str">
        <f t="shared" si="44"/>
        <v>low</v>
      </c>
      <c r="S461" s="1" t="str" cm="1">
        <f t="array" ref="S461">_xlfn.IFS(L461&gt;5,"high",L461=5,"medium",L461&lt;5,"low")</f>
        <v>low</v>
      </c>
      <c r="T461" s="5" t="str">
        <f t="shared" si="45"/>
        <v>low</v>
      </c>
      <c r="U461" s="1">
        <f t="shared" si="46"/>
        <v>445.38</v>
      </c>
      <c r="V461" t="str">
        <f t="shared" si="47"/>
        <v>Normal</v>
      </c>
      <c r="W461" t="str" cm="1">
        <f t="array" ref="W461">_xlfn.IFS(O461&gt;=7000,"Excellent",O461&gt;=4000,"Good",O461&lt;4000,"Average")</f>
        <v>Average</v>
      </c>
    </row>
    <row r="462" spans="1:23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42"/>
        <v>402.54299999999995</v>
      </c>
      <c r="Q462" s="1">
        <f t="shared" si="43"/>
        <v>2281.0769999999998</v>
      </c>
      <c r="R462" s="1" t="str">
        <f t="shared" si="44"/>
        <v>low</v>
      </c>
      <c r="S462" s="1" t="str" cm="1">
        <f t="array" ref="S462">_xlfn.IFS(L462&gt;5,"high",L462=5,"medium",L462&lt;5,"low")</f>
        <v>low</v>
      </c>
      <c r="T462" s="5" t="str">
        <f t="shared" si="45"/>
        <v>low</v>
      </c>
      <c r="U462" s="1">
        <f t="shared" si="46"/>
        <v>3157.2</v>
      </c>
      <c r="V462" t="str">
        <f t="shared" si="47"/>
        <v>Heavy</v>
      </c>
      <c r="W462" t="str" cm="1">
        <f t="array" ref="W462">_xlfn.IFS(O462&gt;=7000,"Excellent",O462&gt;=4000,"Good",O462&lt;4000,"Average")</f>
        <v>Average</v>
      </c>
    </row>
    <row r="463" spans="1:23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42"/>
        <v>208.035</v>
      </c>
      <c r="Q463" s="1">
        <f t="shared" si="43"/>
        <v>1872.3149999999998</v>
      </c>
      <c r="R463" s="1" t="str">
        <f t="shared" si="44"/>
        <v>high</v>
      </c>
      <c r="S463" s="1" t="str" cm="1">
        <f t="array" ref="S463">_xlfn.IFS(L463&gt;5,"high",L463=5,"medium",L463&lt;5,"low")</f>
        <v>high</v>
      </c>
      <c r="T463" s="5" t="str">
        <f t="shared" si="45"/>
        <v>high</v>
      </c>
      <c r="U463" s="1">
        <f t="shared" si="46"/>
        <v>2311.5</v>
      </c>
      <c r="V463" t="str">
        <f t="shared" si="47"/>
        <v>Normal</v>
      </c>
      <c r="W463" t="str" cm="1">
        <f t="array" ref="W463">_xlfn.IFS(O463&gt;=7000,"Excellent",O463&gt;=4000,"Good",O463&lt;4000,"Average")</f>
        <v>Average</v>
      </c>
    </row>
    <row r="464" spans="1:23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42"/>
        <v>1321.104</v>
      </c>
      <c r="Q464" s="1">
        <f t="shared" si="43"/>
        <v>7486.2560000000003</v>
      </c>
      <c r="R464" s="1" t="str">
        <f t="shared" si="44"/>
        <v>high</v>
      </c>
      <c r="S464" s="1" t="str" cm="1">
        <f t="array" ref="S464">_xlfn.IFS(L464&gt;5,"high",L464=5,"medium",L464&lt;5,"low")</f>
        <v>medium</v>
      </c>
      <c r="T464" s="5" t="str">
        <f t="shared" si="45"/>
        <v>medium</v>
      </c>
      <c r="U464" s="1">
        <f t="shared" si="46"/>
        <v>10361.6</v>
      </c>
      <c r="V464" t="str">
        <f t="shared" si="47"/>
        <v>Heavy</v>
      </c>
      <c r="W464" t="str" cm="1">
        <f t="array" ref="W464">_xlfn.IFS(O464&gt;=7000,"Excellent",O464&gt;=4000,"Good",O464&lt;4000,"Average")</f>
        <v>Excellent</v>
      </c>
    </row>
    <row r="465" spans="1:23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42"/>
        <v>89.504000000000005</v>
      </c>
      <c r="Q465" s="1">
        <f t="shared" si="43"/>
        <v>358.01599999999996</v>
      </c>
      <c r="R465" s="1" t="str">
        <f t="shared" si="44"/>
        <v>low</v>
      </c>
      <c r="S465" s="1" t="str" cm="1">
        <f t="array" ref="S465">_xlfn.IFS(L465&gt;5,"high",L465=5,"medium",L465&lt;5,"low")</f>
        <v>low</v>
      </c>
      <c r="T465" s="5" t="str">
        <f t="shared" si="45"/>
        <v>low</v>
      </c>
      <c r="U465" s="1">
        <f t="shared" si="46"/>
        <v>559.4</v>
      </c>
      <c r="V465" t="str">
        <f t="shared" si="47"/>
        <v>Heavy</v>
      </c>
      <c r="W465" t="str" cm="1">
        <f t="array" ref="W465">_xlfn.IFS(O465&gt;=7000,"Excellent",O465&gt;=4000,"Good",O465&lt;4000,"Average")</f>
        <v>Average</v>
      </c>
    </row>
    <row r="466" spans="1:23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42"/>
        <v>377.24200000000002</v>
      </c>
      <c r="Q466" s="1">
        <f t="shared" si="43"/>
        <v>1508.9680000000001</v>
      </c>
      <c r="R466" s="1" t="str">
        <f t="shared" si="44"/>
        <v>low</v>
      </c>
      <c r="S466" s="1" t="str" cm="1">
        <f t="array" ref="S466">_xlfn.IFS(L466&gt;5,"high",L466=5,"medium",L466&lt;5,"low")</f>
        <v>low</v>
      </c>
      <c r="T466" s="5" t="str">
        <f t="shared" si="45"/>
        <v>low</v>
      </c>
      <c r="U466" s="1">
        <f t="shared" si="46"/>
        <v>2357.7600000000002</v>
      </c>
      <c r="V466" t="str">
        <f t="shared" si="47"/>
        <v>Heavy</v>
      </c>
      <c r="W466" t="str" cm="1">
        <f t="array" ref="W466">_xlfn.IFS(O466&gt;=7000,"Excellent",O466&gt;=4000,"Good",O466&lt;4000,"Average")</f>
        <v>Average</v>
      </c>
    </row>
    <row r="467" spans="1:23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42"/>
        <v>0</v>
      </c>
      <c r="Q467" s="1">
        <f t="shared" si="43"/>
        <v>22638.240000000002</v>
      </c>
      <c r="R467" s="1" t="str">
        <f t="shared" si="44"/>
        <v>high</v>
      </c>
      <c r="S467" s="1" t="str" cm="1">
        <f t="array" ref="S467">_xlfn.IFS(L467&gt;5,"high",L467=5,"medium",L467&lt;5,"low")</f>
        <v>high</v>
      </c>
      <c r="T467" s="5" t="str">
        <f t="shared" si="45"/>
        <v>high</v>
      </c>
      <c r="U467" s="1">
        <f t="shared" si="46"/>
        <v>22638.239999999998</v>
      </c>
      <c r="V467" t="str">
        <f t="shared" si="47"/>
        <v>Normal</v>
      </c>
      <c r="W467" t="str" cm="1">
        <f t="array" ref="W467">_xlfn.IFS(O467&gt;=7000,"Excellent",O467&gt;=4000,"Good",O467&lt;4000,"Average")</f>
        <v>Excellent</v>
      </c>
    </row>
    <row r="468" spans="1:23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42"/>
        <v>1789.9574999999998</v>
      </c>
      <c r="Q468" s="1">
        <f t="shared" si="43"/>
        <v>10143.092499999999</v>
      </c>
      <c r="R468" s="1" t="str">
        <f t="shared" si="44"/>
        <v>low</v>
      </c>
      <c r="S468" s="1" t="str" cm="1">
        <f t="array" ref="S468">_xlfn.IFS(L468&gt;5,"high",L468=5,"medium",L468&lt;5,"low")</f>
        <v>low</v>
      </c>
      <c r="T468" s="5" t="str">
        <f t="shared" si="45"/>
        <v>low</v>
      </c>
      <c r="U468" s="1">
        <f t="shared" si="46"/>
        <v>14038.88</v>
      </c>
      <c r="V468" t="str">
        <f t="shared" si="47"/>
        <v>Heavy</v>
      </c>
      <c r="W468" t="str" cm="1">
        <f t="array" ref="W468">_xlfn.IFS(O468&gt;=7000,"Excellent",O468&gt;=4000,"Good",O468&lt;4000,"Average")</f>
        <v>Excellent</v>
      </c>
    </row>
    <row r="469" spans="1:23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42"/>
        <v>2169.3824999999997</v>
      </c>
      <c r="Q469" s="1">
        <f t="shared" si="43"/>
        <v>12293.1675</v>
      </c>
      <c r="R469" s="1" t="str">
        <f t="shared" si="44"/>
        <v>high</v>
      </c>
      <c r="S469" s="1" t="str" cm="1">
        <f t="array" ref="S469">_xlfn.IFS(L469&gt;5,"high",L469=5,"medium",L469&lt;5,"low")</f>
        <v>high</v>
      </c>
      <c r="T469" s="5" t="str">
        <f t="shared" si="45"/>
        <v>high</v>
      </c>
      <c r="U469" s="1">
        <f t="shared" si="46"/>
        <v>17014.77</v>
      </c>
      <c r="V469" t="str">
        <f t="shared" si="47"/>
        <v>Heavy</v>
      </c>
      <c r="W469" t="str" cm="1">
        <f t="array" ref="W469">_xlfn.IFS(O469&gt;=7000,"Excellent",O469&gt;=4000,"Good",O469&lt;4000,"Average")</f>
        <v>Excellent</v>
      </c>
    </row>
    <row r="470" spans="1:23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42"/>
        <v>937.02050000000008</v>
      </c>
      <c r="Q470" s="1">
        <f t="shared" si="43"/>
        <v>17803.389500000001</v>
      </c>
      <c r="R470" s="1" t="str">
        <f t="shared" si="44"/>
        <v>high</v>
      </c>
      <c r="S470" s="1" t="str" cm="1">
        <f t="array" ref="S470">_xlfn.IFS(L470&gt;5,"high",L470=5,"medium",L470&lt;5,"low")</f>
        <v>medium</v>
      </c>
      <c r="T470" s="5" t="str">
        <f t="shared" si="45"/>
        <v>medium</v>
      </c>
      <c r="U470" s="1">
        <f t="shared" si="46"/>
        <v>19726.75</v>
      </c>
      <c r="V470" t="str">
        <f t="shared" si="47"/>
        <v>Normal</v>
      </c>
      <c r="W470" t="str" cm="1">
        <f t="array" ref="W470">_xlfn.IFS(O470&gt;=7000,"Excellent",O470&gt;=4000,"Good",O470&lt;4000,"Average")</f>
        <v>Excellent</v>
      </c>
    </row>
    <row r="471" spans="1:23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42"/>
        <v>57.273500000000006</v>
      </c>
      <c r="Q471" s="1">
        <f t="shared" si="43"/>
        <v>1088.1965</v>
      </c>
      <c r="R471" s="1" t="str">
        <f t="shared" si="44"/>
        <v>high</v>
      </c>
      <c r="S471" s="1" t="str" cm="1">
        <f t="array" ref="S471">_xlfn.IFS(L471&gt;5,"high",L471=5,"medium",L471&lt;5,"low")</f>
        <v>high</v>
      </c>
      <c r="T471" s="5" t="str">
        <f t="shared" si="45"/>
        <v>high</v>
      </c>
      <c r="U471" s="1">
        <f t="shared" si="46"/>
        <v>1205.76</v>
      </c>
      <c r="V471" t="str">
        <f t="shared" si="47"/>
        <v>Normal</v>
      </c>
      <c r="W471" t="str" cm="1">
        <f t="array" ref="W471">_xlfn.IFS(O471&gt;=7000,"Excellent",O471&gt;=4000,"Good",O471&lt;4000,"Average")</f>
        <v>Average</v>
      </c>
    </row>
    <row r="472" spans="1:23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42"/>
        <v>1074.6580000000001</v>
      </c>
      <c r="Q472" s="1">
        <f t="shared" si="43"/>
        <v>20418.502</v>
      </c>
      <c r="R472" s="1" t="str">
        <f t="shared" si="44"/>
        <v>high</v>
      </c>
      <c r="S472" s="1" t="str" cm="1">
        <f t="array" ref="S472">_xlfn.IFS(L472&gt;5,"high",L472=5,"medium",L472&lt;5,"low")</f>
        <v>high</v>
      </c>
      <c r="T472" s="5" t="str">
        <f t="shared" si="45"/>
        <v>high</v>
      </c>
      <c r="U472" s="1">
        <f t="shared" si="46"/>
        <v>22624.38</v>
      </c>
      <c r="V472" t="str">
        <f t="shared" si="47"/>
        <v>Normal</v>
      </c>
      <c r="W472" t="str" cm="1">
        <f t="array" ref="W472">_xlfn.IFS(O472&gt;=7000,"Excellent",O472&gt;=4000,"Good",O472&lt;4000,"Average")</f>
        <v>Excellent</v>
      </c>
    </row>
    <row r="473" spans="1:23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42"/>
        <v>1135.463</v>
      </c>
      <c r="Q473" s="1">
        <f t="shared" si="43"/>
        <v>10219.166999999999</v>
      </c>
      <c r="R473" s="1" t="str">
        <f t="shared" si="44"/>
        <v>high</v>
      </c>
      <c r="S473" s="1" t="str" cm="1">
        <f t="array" ref="S473">_xlfn.IFS(L473&gt;5,"high",L473=5,"medium",L473&lt;5,"low")</f>
        <v>medium</v>
      </c>
      <c r="T473" s="5" t="str">
        <f t="shared" si="45"/>
        <v>medium</v>
      </c>
      <c r="U473" s="1">
        <f t="shared" si="46"/>
        <v>12616.25</v>
      </c>
      <c r="V473" t="str">
        <f t="shared" si="47"/>
        <v>Normal</v>
      </c>
      <c r="W473" t="str" cm="1">
        <f t="array" ref="W473">_xlfn.IFS(O473&gt;=7000,"Excellent",O473&gt;=4000,"Good",O473&lt;4000,"Average")</f>
        <v>Excellent</v>
      </c>
    </row>
    <row r="474" spans="1:23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42"/>
        <v>544.68050000000005</v>
      </c>
      <c r="Q474" s="1">
        <f t="shared" si="43"/>
        <v>10348.9295</v>
      </c>
      <c r="R474" s="1" t="str">
        <f t="shared" si="44"/>
        <v>high</v>
      </c>
      <c r="S474" s="1" t="str" cm="1">
        <f t="array" ref="S474">_xlfn.IFS(L474&gt;5,"high",L474=5,"medium",L474&lt;5,"low")</f>
        <v>high</v>
      </c>
      <c r="T474" s="5" t="str">
        <f t="shared" si="45"/>
        <v>high</v>
      </c>
      <c r="U474" s="1">
        <f t="shared" si="46"/>
        <v>11466.960000000001</v>
      </c>
      <c r="V474" t="str">
        <f t="shared" si="47"/>
        <v>Normal</v>
      </c>
      <c r="W474" t="str" cm="1">
        <f t="array" ref="W474">_xlfn.IFS(O474&gt;=7000,"Excellent",O474&gt;=4000,"Good",O474&lt;4000,"Average")</f>
        <v>Excellent</v>
      </c>
    </row>
    <row r="475" spans="1:23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42"/>
        <v>213.97649999999999</v>
      </c>
      <c r="Q475" s="1">
        <f t="shared" si="43"/>
        <v>1212.5335</v>
      </c>
      <c r="R475" s="1" t="str">
        <f t="shared" si="44"/>
        <v>low</v>
      </c>
      <c r="S475" s="1" t="str" cm="1">
        <f t="array" ref="S475">_xlfn.IFS(L475&gt;5,"high",L475=5,"medium",L475&lt;5,"low")</f>
        <v>low</v>
      </c>
      <c r="T475" s="5" t="str">
        <f t="shared" si="45"/>
        <v>low</v>
      </c>
      <c r="U475" s="1">
        <f t="shared" si="46"/>
        <v>1678.25</v>
      </c>
      <c r="V475" t="str">
        <f t="shared" si="47"/>
        <v>Heavy</v>
      </c>
      <c r="W475" t="str" cm="1">
        <f t="array" ref="W475">_xlfn.IFS(O475&gt;=7000,"Excellent",O475&gt;=4000,"Good",O475&lt;4000,"Average")</f>
        <v>Average</v>
      </c>
    </row>
    <row r="476" spans="1:23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42"/>
        <v>1199.0350000000001</v>
      </c>
      <c r="Q476" s="1">
        <f t="shared" si="43"/>
        <v>10791.315000000001</v>
      </c>
      <c r="R476" s="1" t="str">
        <f t="shared" si="44"/>
        <v>high</v>
      </c>
      <c r="S476" s="1" t="str" cm="1">
        <f t="array" ref="S476">_xlfn.IFS(L476&gt;5,"high",L476=5,"medium",L476&lt;5,"low")</f>
        <v>high</v>
      </c>
      <c r="T476" s="5" t="str">
        <f t="shared" si="45"/>
        <v>high</v>
      </c>
      <c r="U476" s="1">
        <f t="shared" si="46"/>
        <v>13322.61</v>
      </c>
      <c r="V476" t="str">
        <f t="shared" si="47"/>
        <v>Normal</v>
      </c>
      <c r="W476" t="str" cm="1">
        <f t="array" ref="W476">_xlfn.IFS(O476&gt;=7000,"Excellent",O476&gt;=4000,"Good",O476&lt;4000,"Average")</f>
        <v>Excellent</v>
      </c>
    </row>
    <row r="477" spans="1:23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42"/>
        <v>1118.4639999999999</v>
      </c>
      <c r="Q477" s="1">
        <f t="shared" si="43"/>
        <v>4473.8559999999998</v>
      </c>
      <c r="R477" s="1" t="str">
        <f t="shared" si="44"/>
        <v>low</v>
      </c>
      <c r="S477" s="1" t="str" cm="1">
        <f t="array" ref="S477">_xlfn.IFS(L477&gt;5,"high",L477=5,"medium",L477&lt;5,"low")</f>
        <v>low</v>
      </c>
      <c r="T477" s="5" t="str">
        <f t="shared" si="45"/>
        <v>low</v>
      </c>
      <c r="U477" s="1">
        <f t="shared" si="46"/>
        <v>6990.4</v>
      </c>
      <c r="V477" t="str">
        <f t="shared" si="47"/>
        <v>Heavy</v>
      </c>
      <c r="W477" t="str" cm="1">
        <f t="array" ref="W477">_xlfn.IFS(O477&gt;=7000,"Excellent",O477&gt;=4000,"Good",O477&lt;4000,"Average")</f>
        <v>Good</v>
      </c>
    </row>
    <row r="478" spans="1:23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42"/>
        <v>0</v>
      </c>
      <c r="Q478" s="1">
        <f t="shared" si="43"/>
        <v>5924.8</v>
      </c>
      <c r="R478" s="1" t="str">
        <f t="shared" si="44"/>
        <v>low</v>
      </c>
      <c r="S478" s="1" t="str" cm="1">
        <f t="array" ref="S478">_xlfn.IFS(L478&gt;5,"high",L478=5,"medium",L478&lt;5,"low")</f>
        <v>low</v>
      </c>
      <c r="T478" s="5" t="str">
        <f t="shared" si="45"/>
        <v>low</v>
      </c>
      <c r="U478" s="1">
        <f t="shared" si="46"/>
        <v>5924.8</v>
      </c>
      <c r="V478" t="str">
        <f t="shared" si="47"/>
        <v>Normal</v>
      </c>
      <c r="W478" t="str" cm="1">
        <f t="array" ref="W478">_xlfn.IFS(O478&gt;=7000,"Excellent",O478&gt;=4000,"Good",O478&lt;4000,"Average")</f>
        <v>Good</v>
      </c>
    </row>
    <row r="479" spans="1:23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42"/>
        <v>159.39100000000002</v>
      </c>
      <c r="Q479" s="1">
        <f t="shared" si="43"/>
        <v>3028.4290000000001</v>
      </c>
      <c r="R479" s="1" t="str">
        <f t="shared" si="44"/>
        <v>high</v>
      </c>
      <c r="S479" s="1" t="str" cm="1">
        <f t="array" ref="S479">_xlfn.IFS(L479&gt;5,"high",L479=5,"medium",L479&lt;5,"low")</f>
        <v>medium</v>
      </c>
      <c r="T479" s="5" t="str">
        <f t="shared" si="45"/>
        <v>medium</v>
      </c>
      <c r="U479" s="1">
        <f t="shared" si="46"/>
        <v>3355.6</v>
      </c>
      <c r="V479" t="str">
        <f t="shared" si="47"/>
        <v>Normal</v>
      </c>
      <c r="W479" t="str" cm="1">
        <f t="array" ref="W479">_xlfn.IFS(O479&gt;=7000,"Excellent",O479&gt;=4000,"Good",O479&lt;4000,"Average")</f>
        <v>Average</v>
      </c>
    </row>
    <row r="480" spans="1:23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42"/>
        <v>437.23599999999999</v>
      </c>
      <c r="Q480" s="1">
        <f t="shared" si="43"/>
        <v>1748.944</v>
      </c>
      <c r="R480" s="1" t="str">
        <f t="shared" si="44"/>
        <v>low</v>
      </c>
      <c r="S480" s="1" t="str" cm="1">
        <f t="array" ref="S480">_xlfn.IFS(L480&gt;5,"high",L480=5,"medium",L480&lt;5,"low")</f>
        <v>low</v>
      </c>
      <c r="T480" s="5" t="str">
        <f t="shared" si="45"/>
        <v>low</v>
      </c>
      <c r="U480" s="1">
        <f t="shared" si="46"/>
        <v>2732.73</v>
      </c>
      <c r="V480" t="str">
        <f t="shared" si="47"/>
        <v>Heavy</v>
      </c>
      <c r="W480" t="str" cm="1">
        <f t="array" ref="W480">_xlfn.IFS(O480&gt;=7000,"Excellent",O480&gt;=4000,"Good",O480&lt;4000,"Average")</f>
        <v>Average</v>
      </c>
    </row>
    <row r="481" spans="1:23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42"/>
        <v>646.42499999999995</v>
      </c>
      <c r="Q481" s="1">
        <f t="shared" si="43"/>
        <v>3663.0749999999998</v>
      </c>
      <c r="R481" s="1" t="str">
        <f t="shared" si="44"/>
        <v>high</v>
      </c>
      <c r="S481" s="1" t="str" cm="1">
        <f t="array" ref="S481">_xlfn.IFS(L481&gt;5,"high",L481=5,"medium",L481&lt;5,"low")</f>
        <v>high</v>
      </c>
      <c r="T481" s="5" t="str">
        <f t="shared" si="45"/>
        <v>high</v>
      </c>
      <c r="U481" s="1">
        <f t="shared" si="46"/>
        <v>5070</v>
      </c>
      <c r="V481" t="str">
        <f t="shared" si="47"/>
        <v>Heavy</v>
      </c>
      <c r="W481" t="str" cm="1">
        <f t="array" ref="W481">_xlfn.IFS(O481&gt;=7000,"Excellent",O481&gt;=4000,"Good",O481&lt;4000,"Average")</f>
        <v>Good</v>
      </c>
    </row>
    <row r="482" spans="1:23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42"/>
        <v>0</v>
      </c>
      <c r="Q482" s="1">
        <f t="shared" si="43"/>
        <v>9284.08</v>
      </c>
      <c r="R482" s="1" t="str">
        <f t="shared" si="44"/>
        <v>high</v>
      </c>
      <c r="S482" s="1" t="str" cm="1">
        <f t="array" ref="S482">_xlfn.IFS(L482&gt;5,"high",L482=5,"medium",L482&lt;5,"low")</f>
        <v>high</v>
      </c>
      <c r="T482" s="5" t="str">
        <f t="shared" si="45"/>
        <v>high</v>
      </c>
      <c r="U482" s="1">
        <f t="shared" si="46"/>
        <v>9284.08</v>
      </c>
      <c r="V482" t="str">
        <f t="shared" si="47"/>
        <v>Normal</v>
      </c>
      <c r="W482" t="str" cm="1">
        <f t="array" ref="W482">_xlfn.IFS(O482&gt;=7000,"Excellent",O482&gt;=4000,"Good",O482&lt;4000,"Average")</f>
        <v>Excellent</v>
      </c>
    </row>
    <row r="483" spans="1:23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42"/>
        <v>2432.9080000000004</v>
      </c>
      <c r="Q483" s="1">
        <f t="shared" si="43"/>
        <v>9731.6320000000014</v>
      </c>
      <c r="R483" s="1" t="str">
        <f t="shared" si="44"/>
        <v>high</v>
      </c>
      <c r="S483" s="1" t="str" cm="1">
        <f t="array" ref="S483">_xlfn.IFS(L483&gt;5,"high",L483=5,"medium",L483&lt;5,"low")</f>
        <v>high</v>
      </c>
      <c r="T483" s="5" t="str">
        <f t="shared" si="45"/>
        <v>high</v>
      </c>
      <c r="U483" s="1">
        <f t="shared" si="46"/>
        <v>15205.679999999998</v>
      </c>
      <c r="V483" t="str">
        <f t="shared" si="47"/>
        <v>Heavy</v>
      </c>
      <c r="W483" t="str" cm="1">
        <f t="array" ref="W483">_xlfn.IFS(O483&gt;=7000,"Excellent",O483&gt;=4000,"Good",O483&lt;4000,"Average")</f>
        <v>Excellent</v>
      </c>
    </row>
    <row r="484" spans="1:23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42"/>
        <v>0</v>
      </c>
      <c r="Q484" s="1">
        <f t="shared" si="43"/>
        <v>1734.45</v>
      </c>
      <c r="R484" s="1" t="str">
        <f t="shared" si="44"/>
        <v>low</v>
      </c>
      <c r="S484" s="1" t="str" cm="1">
        <f t="array" ref="S484">_xlfn.IFS(L484&gt;5,"high",L484=5,"medium",L484&lt;5,"low")</f>
        <v>low</v>
      </c>
      <c r="T484" s="5" t="str">
        <f t="shared" si="45"/>
        <v>low</v>
      </c>
      <c r="U484" s="1">
        <f t="shared" si="46"/>
        <v>1734.4499999999998</v>
      </c>
      <c r="V484" t="str">
        <f t="shared" si="47"/>
        <v>Normal</v>
      </c>
      <c r="W484" t="str" cm="1">
        <f t="array" ref="W484">_xlfn.IFS(O484&gt;=7000,"Excellent",O484&gt;=4000,"Good",O484&lt;4000,"Average")</f>
        <v>Average</v>
      </c>
    </row>
    <row r="485" spans="1:23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42"/>
        <v>1327.1310000000001</v>
      </c>
      <c r="Q485" s="1">
        <f t="shared" si="43"/>
        <v>25215.488999999998</v>
      </c>
      <c r="R485" s="1" t="str">
        <f t="shared" si="44"/>
        <v>high</v>
      </c>
      <c r="S485" s="1" t="str" cm="1">
        <f t="array" ref="S485">_xlfn.IFS(L485&gt;5,"high",L485=5,"medium",L485&lt;5,"low")</f>
        <v>high</v>
      </c>
      <c r="T485" s="5" t="str">
        <f t="shared" si="45"/>
        <v>high</v>
      </c>
      <c r="U485" s="1">
        <f t="shared" si="46"/>
        <v>27939.599999999999</v>
      </c>
      <c r="V485" t="str">
        <f t="shared" si="47"/>
        <v>Normal</v>
      </c>
      <c r="W485" t="str" cm="1">
        <f t="array" ref="W485">_xlfn.IFS(O485&gt;=7000,"Excellent",O485&gt;=4000,"Good",O485&lt;4000,"Average")</f>
        <v>Excellent</v>
      </c>
    </row>
    <row r="486" spans="1:23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42"/>
        <v>330.18450000000001</v>
      </c>
      <c r="Q486" s="1">
        <f t="shared" si="43"/>
        <v>1871.0454999999999</v>
      </c>
      <c r="R486" s="1" t="str">
        <f t="shared" si="44"/>
        <v>low</v>
      </c>
      <c r="S486" s="1" t="str" cm="1">
        <f t="array" ref="S486">_xlfn.IFS(L486&gt;5,"high",L486=5,"medium",L486&lt;5,"low")</f>
        <v>low</v>
      </c>
      <c r="T486" s="5" t="str">
        <f t="shared" si="45"/>
        <v>low</v>
      </c>
      <c r="U486" s="1">
        <f t="shared" si="46"/>
        <v>2589.6799999999998</v>
      </c>
      <c r="V486" t="str">
        <f t="shared" si="47"/>
        <v>Heavy</v>
      </c>
      <c r="W486" t="str" cm="1">
        <f t="array" ref="W486">_xlfn.IFS(O486&gt;=7000,"Excellent",O486&gt;=4000,"Good",O486&lt;4000,"Average")</f>
        <v>Average</v>
      </c>
    </row>
    <row r="487" spans="1:23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42"/>
        <v>0</v>
      </c>
      <c r="Q487" s="1">
        <f t="shared" si="43"/>
        <v>6981.93</v>
      </c>
      <c r="R487" s="1" t="str">
        <f t="shared" si="44"/>
        <v>high</v>
      </c>
      <c r="S487" s="1" t="str" cm="1">
        <f t="array" ref="S487">_xlfn.IFS(L487&gt;5,"high",L487=5,"medium",L487&lt;5,"low")</f>
        <v>high</v>
      </c>
      <c r="T487" s="5" t="str">
        <f t="shared" si="45"/>
        <v>high</v>
      </c>
      <c r="U487" s="1">
        <f t="shared" si="46"/>
        <v>6981.93</v>
      </c>
      <c r="V487" t="str">
        <f t="shared" si="47"/>
        <v>Normal</v>
      </c>
      <c r="W487" t="str" cm="1">
        <f t="array" ref="W487">_xlfn.IFS(O487&gt;=7000,"Excellent",O487&gt;=4000,"Good",O487&lt;4000,"Average")</f>
        <v>Good</v>
      </c>
    </row>
    <row r="488" spans="1:23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42"/>
        <v>1760.73</v>
      </c>
      <c r="Q488" s="1">
        <f t="shared" si="43"/>
        <v>7042.92</v>
      </c>
      <c r="R488" s="1" t="str">
        <f t="shared" si="44"/>
        <v>low</v>
      </c>
      <c r="S488" s="1" t="str" cm="1">
        <f t="array" ref="S488">_xlfn.IFS(L488&gt;5,"high",L488=5,"medium",L488&lt;5,"low")</f>
        <v>low</v>
      </c>
      <c r="T488" s="5" t="str">
        <f t="shared" si="45"/>
        <v>low</v>
      </c>
      <c r="U488" s="1">
        <f t="shared" si="46"/>
        <v>11004.56</v>
      </c>
      <c r="V488" t="str">
        <f t="shared" si="47"/>
        <v>Heavy</v>
      </c>
      <c r="W488" t="str" cm="1">
        <f t="array" ref="W488">_xlfn.IFS(O488&gt;=7000,"Excellent",O488&gt;=4000,"Good",O488&lt;4000,"Average")</f>
        <v>Excellent</v>
      </c>
    </row>
    <row r="489" spans="1:23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42"/>
        <v>14.090000000000002</v>
      </c>
      <c r="Q489" s="1">
        <f t="shared" si="43"/>
        <v>267.71000000000004</v>
      </c>
      <c r="R489" s="1" t="str">
        <f t="shared" si="44"/>
        <v>low</v>
      </c>
      <c r="S489" s="1" t="str" cm="1">
        <f t="array" ref="S489">_xlfn.IFS(L489&gt;5,"high",L489=5,"medium",L489&lt;5,"low")</f>
        <v>low</v>
      </c>
      <c r="T489" s="5" t="str">
        <f t="shared" si="45"/>
        <v>low</v>
      </c>
      <c r="U489" s="1">
        <f t="shared" si="46"/>
        <v>296.63</v>
      </c>
      <c r="V489" t="str">
        <f t="shared" si="47"/>
        <v>Normal</v>
      </c>
      <c r="W489" t="str" cm="1">
        <f t="array" ref="W489">_xlfn.IFS(O489&gt;=7000,"Excellent",O489&gt;=4000,"Good",O489&lt;4000,"Average")</f>
        <v>Average</v>
      </c>
    </row>
    <row r="490" spans="1:23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42"/>
        <v>964.01450000000011</v>
      </c>
      <c r="Q490" s="1">
        <f t="shared" si="43"/>
        <v>18316.2755</v>
      </c>
      <c r="R490" s="1" t="str">
        <f t="shared" si="44"/>
        <v>high</v>
      </c>
      <c r="S490" s="1" t="str" cm="1">
        <f t="array" ref="S490">_xlfn.IFS(L490&gt;5,"high",L490=5,"medium",L490&lt;5,"low")</f>
        <v>high</v>
      </c>
      <c r="T490" s="5" t="str">
        <f t="shared" si="45"/>
        <v>high</v>
      </c>
      <c r="U490" s="1">
        <f t="shared" si="46"/>
        <v>20295.04</v>
      </c>
      <c r="V490" t="str">
        <f t="shared" si="47"/>
        <v>Normal</v>
      </c>
      <c r="W490" t="str" cm="1">
        <f t="array" ref="W490">_xlfn.IFS(O490&gt;=7000,"Excellent",O490&gt;=4000,"Good",O490&lt;4000,"Average")</f>
        <v>Excellent</v>
      </c>
    </row>
    <row r="491" spans="1:23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42"/>
        <v>3178.6280000000002</v>
      </c>
      <c r="Q491" s="1">
        <f t="shared" si="43"/>
        <v>12714.511999999999</v>
      </c>
      <c r="R491" s="1" t="str">
        <f t="shared" si="44"/>
        <v>high</v>
      </c>
      <c r="S491" s="1" t="str" cm="1">
        <f t="array" ref="S491">_xlfn.IFS(L491&gt;5,"high",L491=5,"medium",L491&lt;5,"low")</f>
        <v>high</v>
      </c>
      <c r="T491" s="5" t="str">
        <f t="shared" si="45"/>
        <v>high</v>
      </c>
      <c r="U491" s="1">
        <f t="shared" si="46"/>
        <v>19866.419999999998</v>
      </c>
      <c r="V491" t="str">
        <f t="shared" si="47"/>
        <v>Heavy</v>
      </c>
      <c r="W491" t="str" cm="1">
        <f t="array" ref="W491">_xlfn.IFS(O491&gt;=7000,"Excellent",O491&gt;=4000,"Good",O491&lt;4000,"Average")</f>
        <v>Excellent</v>
      </c>
    </row>
    <row r="492" spans="1:23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42"/>
        <v>781.94399999999996</v>
      </c>
      <c r="Q492" s="1">
        <f t="shared" si="43"/>
        <v>3127.7759999999998</v>
      </c>
      <c r="R492" s="1" t="str">
        <f t="shared" si="44"/>
        <v>high</v>
      </c>
      <c r="S492" s="1" t="str" cm="1">
        <f t="array" ref="S492">_xlfn.IFS(L492&gt;5,"high",L492=5,"medium",L492&lt;5,"low")</f>
        <v>medium</v>
      </c>
      <c r="T492" s="5" t="str">
        <f t="shared" si="45"/>
        <v>medium</v>
      </c>
      <c r="U492" s="1">
        <f t="shared" si="46"/>
        <v>4887.1499999999996</v>
      </c>
      <c r="V492" t="str">
        <f t="shared" si="47"/>
        <v>Heavy</v>
      </c>
      <c r="W492" t="str" cm="1">
        <f t="array" ref="W492">_xlfn.IFS(O492&gt;=7000,"Excellent",O492&gt;=4000,"Good",O492&lt;4000,"Average")</f>
        <v>Average</v>
      </c>
    </row>
    <row r="493" spans="1:23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42"/>
        <v>0</v>
      </c>
      <c r="Q493" s="1">
        <f t="shared" si="43"/>
        <v>1557.8</v>
      </c>
      <c r="R493" s="1" t="str">
        <f t="shared" si="44"/>
        <v>high</v>
      </c>
      <c r="S493" s="1" t="str" cm="1">
        <f t="array" ref="S493">_xlfn.IFS(L493&gt;5,"high",L493=5,"medium",L493&lt;5,"low")</f>
        <v>medium</v>
      </c>
      <c r="T493" s="5" t="str">
        <f t="shared" si="45"/>
        <v>medium</v>
      </c>
      <c r="U493" s="1">
        <f t="shared" si="46"/>
        <v>1557.8</v>
      </c>
      <c r="V493" t="str">
        <f t="shared" si="47"/>
        <v>Normal</v>
      </c>
      <c r="W493" t="str" cm="1">
        <f t="array" ref="W493">_xlfn.IFS(O493&gt;=7000,"Excellent",O493&gt;=4000,"Good",O493&lt;4000,"Average")</f>
        <v>Average</v>
      </c>
    </row>
    <row r="494" spans="1:23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42"/>
        <v>976.51900000000012</v>
      </c>
      <c r="Q494" s="1">
        <f t="shared" si="43"/>
        <v>8788.6710000000003</v>
      </c>
      <c r="R494" s="1" t="str">
        <f t="shared" si="44"/>
        <v>high</v>
      </c>
      <c r="S494" s="1" t="str" cm="1">
        <f t="array" ref="S494">_xlfn.IFS(L494&gt;5,"high",L494=5,"medium",L494&lt;5,"low")</f>
        <v>high</v>
      </c>
      <c r="T494" s="5" t="str">
        <f t="shared" si="45"/>
        <v>high</v>
      </c>
      <c r="U494" s="1">
        <f t="shared" si="46"/>
        <v>10850.21</v>
      </c>
      <c r="V494" t="str">
        <f t="shared" si="47"/>
        <v>Normal</v>
      </c>
      <c r="W494" t="str" cm="1">
        <f t="array" ref="W494">_xlfn.IFS(O494&gt;=7000,"Excellent",O494&gt;=4000,"Good",O494&lt;4000,"Average")</f>
        <v>Excellent</v>
      </c>
    </row>
    <row r="495" spans="1:23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42"/>
        <v>125.77750000000002</v>
      </c>
      <c r="Q495" s="1">
        <f t="shared" si="43"/>
        <v>2389.7725</v>
      </c>
      <c r="R495" s="1" t="str">
        <f t="shared" si="44"/>
        <v>high</v>
      </c>
      <c r="S495" s="1" t="str" cm="1">
        <f t="array" ref="S495">_xlfn.IFS(L495&gt;5,"high",L495=5,"medium",L495&lt;5,"low")</f>
        <v>medium</v>
      </c>
      <c r="T495" s="5" t="str">
        <f t="shared" si="45"/>
        <v>medium</v>
      </c>
      <c r="U495" s="1">
        <f t="shared" si="46"/>
        <v>2647.9500000000003</v>
      </c>
      <c r="V495" t="str">
        <f t="shared" si="47"/>
        <v>Normal</v>
      </c>
      <c r="W495" t="str" cm="1">
        <f t="array" ref="W495">_xlfn.IFS(O495&gt;=7000,"Excellent",O495&gt;=4000,"Good",O495&lt;4000,"Average")</f>
        <v>Average</v>
      </c>
    </row>
    <row r="496" spans="1:23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42"/>
        <v>0</v>
      </c>
      <c r="Q496" s="1">
        <f t="shared" si="43"/>
        <v>4787.5200000000004</v>
      </c>
      <c r="R496" s="1" t="str">
        <f t="shared" si="44"/>
        <v>high</v>
      </c>
      <c r="S496" s="1" t="str" cm="1">
        <f t="array" ref="S496">_xlfn.IFS(L496&gt;5,"high",L496=5,"medium",L496&lt;5,"low")</f>
        <v>high</v>
      </c>
      <c r="T496" s="5" t="str">
        <f t="shared" si="45"/>
        <v>high</v>
      </c>
      <c r="U496" s="1">
        <f t="shared" si="46"/>
        <v>4787.5200000000004</v>
      </c>
      <c r="V496" t="str">
        <f t="shared" si="47"/>
        <v>Normal</v>
      </c>
      <c r="W496" t="str" cm="1">
        <f t="array" ref="W496">_xlfn.IFS(O496&gt;=7000,"Excellent",O496&gt;=4000,"Good",O496&lt;4000,"Average")</f>
        <v>Good</v>
      </c>
    </row>
    <row r="497" spans="1:23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42"/>
        <v>1083.7540000000001</v>
      </c>
      <c r="Q497" s="1">
        <f t="shared" si="43"/>
        <v>4335.0160000000005</v>
      </c>
      <c r="R497" s="1" t="str">
        <f t="shared" si="44"/>
        <v>high</v>
      </c>
      <c r="S497" s="1" t="str" cm="1">
        <f t="array" ref="S497">_xlfn.IFS(L497&gt;5,"high",L497=5,"medium",L497&lt;5,"low")</f>
        <v>high</v>
      </c>
      <c r="T497" s="5" t="str">
        <f t="shared" si="45"/>
        <v>high</v>
      </c>
      <c r="U497" s="1">
        <f t="shared" si="46"/>
        <v>6773.4600000000009</v>
      </c>
      <c r="V497" t="str">
        <f t="shared" si="47"/>
        <v>Heavy</v>
      </c>
      <c r="W497" t="str" cm="1">
        <f t="array" ref="W497">_xlfn.IFS(O497&gt;=7000,"Excellent",O497&gt;=4000,"Good",O497&lt;4000,"Average")</f>
        <v>Good</v>
      </c>
    </row>
    <row r="498" spans="1:23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42"/>
        <v>0</v>
      </c>
      <c r="Q498" s="1">
        <f t="shared" si="43"/>
        <v>6437.75</v>
      </c>
      <c r="R498" s="1" t="str">
        <f t="shared" si="44"/>
        <v>high</v>
      </c>
      <c r="S498" s="1" t="str" cm="1">
        <f t="array" ref="S498">_xlfn.IFS(L498&gt;5,"high",L498=5,"medium",L498&lt;5,"low")</f>
        <v>medium</v>
      </c>
      <c r="T498" s="5" t="str">
        <f t="shared" si="45"/>
        <v>medium</v>
      </c>
      <c r="U498" s="1">
        <f t="shared" si="46"/>
        <v>6437.75</v>
      </c>
      <c r="V498" t="str">
        <f t="shared" si="47"/>
        <v>Normal</v>
      </c>
      <c r="W498" t="str" cm="1">
        <f t="array" ref="W498">_xlfn.IFS(O498&gt;=7000,"Excellent",O498&gt;=4000,"Good",O498&lt;4000,"Average")</f>
        <v>Good</v>
      </c>
    </row>
    <row r="499" spans="1:23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42"/>
        <v>3154.1620000000003</v>
      </c>
      <c r="Q499" s="1">
        <f t="shared" si="43"/>
        <v>12616.647999999999</v>
      </c>
      <c r="R499" s="1" t="str">
        <f t="shared" si="44"/>
        <v>high</v>
      </c>
      <c r="S499" s="1" t="str" cm="1">
        <f t="array" ref="S499">_xlfn.IFS(L499&gt;5,"high",L499=5,"medium",L499&lt;5,"low")</f>
        <v>high</v>
      </c>
      <c r="T499" s="5" t="str">
        <f t="shared" si="45"/>
        <v>high</v>
      </c>
      <c r="U499" s="1">
        <f t="shared" si="46"/>
        <v>19713.509999999998</v>
      </c>
      <c r="V499" t="str">
        <f t="shared" si="47"/>
        <v>Heavy</v>
      </c>
      <c r="W499" t="str" cm="1">
        <f t="array" ref="W499">_xlfn.IFS(O499&gt;=7000,"Excellent",O499&gt;=4000,"Good",O499&lt;4000,"Average")</f>
        <v>Excellent</v>
      </c>
    </row>
    <row r="500" spans="1:23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42"/>
        <v>704.26199999999994</v>
      </c>
      <c r="Q500" s="1">
        <f t="shared" si="43"/>
        <v>3990.8180000000002</v>
      </c>
      <c r="R500" s="1" t="str">
        <f t="shared" si="44"/>
        <v>low</v>
      </c>
      <c r="S500" s="1" t="str" cm="1">
        <f t="array" ref="S500">_xlfn.IFS(L500&gt;5,"high",L500=5,"medium",L500&lt;5,"low")</f>
        <v>low</v>
      </c>
      <c r="T500" s="5" t="str">
        <f t="shared" si="45"/>
        <v>low</v>
      </c>
      <c r="U500" s="1">
        <f t="shared" si="46"/>
        <v>5523.62</v>
      </c>
      <c r="V500" t="str">
        <f t="shared" si="47"/>
        <v>Heavy</v>
      </c>
      <c r="W500" t="str" cm="1">
        <f t="array" ref="W500">_xlfn.IFS(O500&gt;=7000,"Excellent",O500&gt;=4000,"Good",O500&lt;4000,"Average")</f>
        <v>Good</v>
      </c>
    </row>
    <row r="501" spans="1:23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42"/>
        <v>389.14800000000002</v>
      </c>
      <c r="Q501" s="1">
        <f t="shared" si="43"/>
        <v>1556.5920000000001</v>
      </c>
      <c r="R501" s="1" t="str">
        <f t="shared" si="44"/>
        <v>low</v>
      </c>
      <c r="S501" s="1" t="str" cm="1">
        <f t="array" ref="S501">_xlfn.IFS(L501&gt;5,"high",L501=5,"medium",L501&lt;5,"low")</f>
        <v>low</v>
      </c>
      <c r="T501" s="5" t="str">
        <f t="shared" si="45"/>
        <v>low</v>
      </c>
      <c r="U501" s="1">
        <f t="shared" si="46"/>
        <v>2432.17</v>
      </c>
      <c r="V501" t="str">
        <f t="shared" si="47"/>
        <v>Heavy</v>
      </c>
      <c r="W501" t="str" cm="1">
        <f t="array" ref="W501">_xlfn.IFS(O501&gt;=7000,"Excellent",O501&gt;=4000,"Good",O501&lt;4000,"Average")</f>
        <v>Average</v>
      </c>
    </row>
    <row r="502" spans="1:23" x14ac:dyDescent="0.3">
      <c r="U502" s="1">
        <f>SUM(U1:U501)</f>
        <v>5134263.8099999949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sohomdey58@gmail.com</cp:lastModifiedBy>
  <dcterms:created xsi:type="dcterms:W3CDTF">2025-11-28T09:29:24Z</dcterms:created>
  <dcterms:modified xsi:type="dcterms:W3CDTF">2026-08-01T06:26:48Z</dcterms:modified>
</cp:coreProperties>
</file>