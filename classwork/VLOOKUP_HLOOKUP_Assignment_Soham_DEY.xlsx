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SOHAM\Downloads\"/>
    </mc:Choice>
  </mc:AlternateContent>
  <xr:revisionPtr revIDLastSave="0" documentId="13_ncr:1_{E9ACFAB4-6FDD-4A57-9DA2-F062DB4A6AC7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Employee VLOOKUP" sheetId="1" r:id="rId1"/>
    <sheet name="Student VLOOKUP" sheetId="2" r:id="rId2"/>
    <sheet name="HLOOKUP &amp; VLOOKUP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3" i="3" l="1"/>
  <c r="L13" i="3"/>
  <c r="I13" i="3"/>
  <c r="I12" i="3"/>
  <c r="O4" i="3"/>
  <c r="L4" i="3"/>
  <c r="I5" i="3"/>
  <c r="I4" i="3"/>
  <c r="I3" i="3"/>
  <c r="O3" i="2"/>
  <c r="L3" i="2"/>
  <c r="I4" i="2"/>
  <c r="I3" i="2"/>
  <c r="I2" i="2"/>
  <c r="O3" i="1"/>
  <c r="L3" i="1"/>
  <c r="I6" i="1"/>
  <c r="I5" i="1"/>
  <c r="I3" i="1"/>
  <c r="I4" i="1"/>
</calcChain>
</file>

<file path=xl/sharedStrings.xml><?xml version="1.0" encoding="utf-8"?>
<sst xmlns="http://schemas.openxmlformats.org/spreadsheetml/2006/main" count="125" uniqueCount="101">
  <si>
    <t>Emp ID</t>
  </si>
  <si>
    <t>Name</t>
  </si>
  <si>
    <t>Department</t>
  </si>
  <si>
    <t>Salary</t>
  </si>
  <si>
    <t>City</t>
  </si>
  <si>
    <t>E101</t>
  </si>
  <si>
    <t>Amit</t>
  </si>
  <si>
    <t>HR</t>
  </si>
  <si>
    <t>Delhi</t>
  </si>
  <si>
    <t>Answers</t>
  </si>
  <si>
    <t>E102</t>
  </si>
  <si>
    <t>Neha</t>
  </si>
  <si>
    <t>IT</t>
  </si>
  <si>
    <t>Mumbai</t>
  </si>
  <si>
    <t>Priya</t>
  </si>
  <si>
    <t>E103</t>
  </si>
  <si>
    <t>Rahul</t>
  </si>
  <si>
    <t>Finance</t>
  </si>
  <si>
    <t>Kolkata</t>
  </si>
  <si>
    <t>Department of E103</t>
  </si>
  <si>
    <t>E104</t>
  </si>
  <si>
    <t>Bangalore</t>
  </si>
  <si>
    <t>Salary of E108</t>
  </si>
  <si>
    <t>E105</t>
  </si>
  <si>
    <t>Arjun</t>
  </si>
  <si>
    <t>Marketing</t>
  </si>
  <si>
    <t>Pune</t>
  </si>
  <si>
    <t>City of E105</t>
  </si>
  <si>
    <t>E106</t>
  </si>
  <si>
    <t>Riya</t>
  </si>
  <si>
    <t>E107</t>
  </si>
  <si>
    <t>Karan</t>
  </si>
  <si>
    <t>E108</t>
  </si>
  <si>
    <t>Sneha</t>
  </si>
  <si>
    <t>Chennai</t>
  </si>
  <si>
    <t>Student ID</t>
  </si>
  <si>
    <t>Maths</t>
  </si>
  <si>
    <t>Science</t>
  </si>
  <si>
    <t>English</t>
  </si>
  <si>
    <t>S101</t>
  </si>
  <si>
    <t>Asha</t>
  </si>
  <si>
    <t>S102</t>
  </si>
  <si>
    <t>Ravi</t>
  </si>
  <si>
    <t>Maths S103</t>
  </si>
  <si>
    <t>S103</t>
  </si>
  <si>
    <t>Meena</t>
  </si>
  <si>
    <t>Science S102</t>
  </si>
  <si>
    <t>S104</t>
  </si>
  <si>
    <t>English S105</t>
  </si>
  <si>
    <t>S105</t>
  </si>
  <si>
    <t>Kiran</t>
  </si>
  <si>
    <t>Product ID</t>
  </si>
  <si>
    <t>P101</t>
  </si>
  <si>
    <t>P102</t>
  </si>
  <si>
    <t>P103</t>
  </si>
  <si>
    <t>P104</t>
  </si>
  <si>
    <t>P105</t>
  </si>
  <si>
    <t>Product Name</t>
  </si>
  <si>
    <t>Laptop</t>
  </si>
  <si>
    <t>Mouse</t>
  </si>
  <si>
    <t>Keyboard</t>
  </si>
  <si>
    <t>Monitor</t>
  </si>
  <si>
    <t>Printer</t>
  </si>
  <si>
    <t>HLOOKUP Answers</t>
  </si>
  <si>
    <t>Price</t>
  </si>
  <si>
    <t>Price P103</t>
  </si>
  <si>
    <t>Stock</t>
  </si>
  <si>
    <t>Stock P104</t>
  </si>
  <si>
    <t>Name P101</t>
  </si>
  <si>
    <t>ID</t>
  </si>
  <si>
    <t>Course</t>
  </si>
  <si>
    <t>Fees</t>
  </si>
  <si>
    <t>C101</t>
  </si>
  <si>
    <t>Rohan</t>
  </si>
  <si>
    <t>Excel</t>
  </si>
  <si>
    <t>C102</t>
  </si>
  <si>
    <t>Ananya</t>
  </si>
  <si>
    <t>Power BI</t>
  </si>
  <si>
    <t>C103</t>
  </si>
  <si>
    <t>Vikram</t>
  </si>
  <si>
    <t>SQL</t>
  </si>
  <si>
    <t>C104</t>
  </si>
  <si>
    <t>Python</t>
  </si>
  <si>
    <t>C105</t>
  </si>
  <si>
    <t>Aman</t>
  </si>
  <si>
    <t>Tableau</t>
  </si>
  <si>
    <t>VLOOKUP Answers</t>
  </si>
  <si>
    <t>Course C103</t>
  </si>
  <si>
    <t>Fees C104</t>
  </si>
  <si>
    <t>EMP_ID</t>
  </si>
  <si>
    <t>salary</t>
  </si>
  <si>
    <t>DEPARTMENT</t>
  </si>
  <si>
    <t>STUDENT_ID</t>
  </si>
  <si>
    <t>NAME</t>
  </si>
  <si>
    <t>STUDENT-ID</t>
  </si>
  <si>
    <t>SCIENCE_MARKS</t>
  </si>
  <si>
    <t>PRODUCT_ID</t>
  </si>
  <si>
    <t>PRICE</t>
  </si>
  <si>
    <t>STOCK</t>
  </si>
  <si>
    <t>COURRSE_ID</t>
  </si>
  <si>
    <t>FEES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</si>
</sst>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7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2" fillId="6" borderId="0" applyNumberFormat="0" applyBorder="0" applyAlignment="0" applyProtection="0"/>
  </cellStyleXfs>
  <cellXfs count="10">
    <xf numFmtId="0" fontId="0" fillId="0" borderId="0" xfId="0"/>
    <xf numFmtId="0" fontId="2" fillId="2" borderId="0" xfId="1"/>
    <xf numFmtId="0" fontId="1" fillId="3" borderId="0" xfId="2"/>
    <xf numFmtId="0" fontId="1" fillId="4" borderId="0" xfId="3"/>
    <xf numFmtId="0" fontId="2" fillId="2" borderId="0" xfId="1" applyAlignment="1">
      <alignment horizontal="center"/>
    </xf>
    <xf numFmtId="0" fontId="1" fillId="5" borderId="0" xfId="4"/>
    <xf numFmtId="0" fontId="2" fillId="2" borderId="1" xfId="1" applyBorder="1"/>
    <xf numFmtId="0" fontId="1" fillId="4" borderId="1" xfId="3" applyBorder="1"/>
    <xf numFmtId="0" fontId="1" fillId="5" borderId="1" xfId="4" applyBorder="1"/>
    <xf numFmtId="0" fontId="2" fillId="6" borderId="1" xfId="5" applyBorder="1"/>
  </cellXfs>
  <cellStyles count="6">
    <cellStyle name="20% - Accent1" xfId="2" builtinId="30"/>
    <cellStyle name="40% - Accent1" xfId="3" builtinId="31"/>
    <cellStyle name="60% - Accent1" xfId="4" builtinId="32"/>
    <cellStyle name="Accent1" xfId="1" builtinId="29"/>
    <cellStyle name="Accent4" xfId="5" builtinId="41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"/>
  <sheetViews>
    <sheetView workbookViewId="0">
      <selection activeCell="M12" sqref="M12"/>
    </sheetView>
  </sheetViews>
  <sheetFormatPr defaultRowHeight="14.4" x14ac:dyDescent="0.3"/>
  <cols>
    <col min="8" max="8" width="20.6640625" bestFit="1" customWidth="1"/>
    <col min="15" max="15" width="12.44140625" bestFit="1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15" x14ac:dyDescent="0.3">
      <c r="A2" s="2" t="s">
        <v>5</v>
      </c>
      <c r="B2" s="2" t="s">
        <v>6</v>
      </c>
      <c r="C2" s="2" t="s">
        <v>7</v>
      </c>
      <c r="D2" s="2">
        <v>35000</v>
      </c>
      <c r="E2" s="2" t="s">
        <v>8</v>
      </c>
      <c r="H2" s="4" t="s">
        <v>9</v>
      </c>
      <c r="I2" s="4"/>
      <c r="K2" s="1" t="s">
        <v>89</v>
      </c>
      <c r="L2" s="1" t="s">
        <v>90</v>
      </c>
      <c r="N2" s="1" t="s">
        <v>89</v>
      </c>
      <c r="O2" s="1" t="s">
        <v>91</v>
      </c>
    </row>
    <row r="3" spans="1:15" x14ac:dyDescent="0.3">
      <c r="A3" s="2" t="s">
        <v>10</v>
      </c>
      <c r="B3" s="2" t="s">
        <v>11</v>
      </c>
      <c r="C3" s="2" t="s">
        <v>12</v>
      </c>
      <c r="D3" s="2">
        <v>50000</v>
      </c>
      <c r="E3" s="2" t="s">
        <v>13</v>
      </c>
      <c r="H3" s="3" t="s">
        <v>20</v>
      </c>
      <c r="I3" s="3" t="str">
        <f>VLOOKUP(H3,A2:E9,2,0)</f>
        <v>Priya</v>
      </c>
      <c r="K3" s="3" t="s">
        <v>15</v>
      </c>
      <c r="L3" s="3">
        <f>VLOOKUP(K3,A1:E9,4,0)</f>
        <v>45000</v>
      </c>
      <c r="N3" s="3" t="s">
        <v>15</v>
      </c>
      <c r="O3" s="3" t="str">
        <f>VLOOKUP(N3,A1:E9,3,0)</f>
        <v>Finance</v>
      </c>
    </row>
    <row r="4" spans="1:15" x14ac:dyDescent="0.3">
      <c r="A4" s="2" t="s">
        <v>15</v>
      </c>
      <c r="B4" s="2" t="s">
        <v>16</v>
      </c>
      <c r="C4" s="2" t="s">
        <v>17</v>
      </c>
      <c r="D4" s="2">
        <v>45000</v>
      </c>
      <c r="E4" s="2" t="s">
        <v>18</v>
      </c>
      <c r="H4" s="3" t="s">
        <v>19</v>
      </c>
      <c r="I4" s="3" t="str">
        <f>VLOOKUP(A4,A2:E9,3,0)</f>
        <v>Finance</v>
      </c>
    </row>
    <row r="5" spans="1:15" x14ac:dyDescent="0.3">
      <c r="A5" s="2" t="s">
        <v>20</v>
      </c>
      <c r="B5" s="2" t="s">
        <v>14</v>
      </c>
      <c r="C5" s="2" t="s">
        <v>12</v>
      </c>
      <c r="D5" s="2">
        <v>52000</v>
      </c>
      <c r="E5" s="2" t="s">
        <v>21</v>
      </c>
      <c r="H5" s="3" t="s">
        <v>22</v>
      </c>
      <c r="I5" s="3">
        <f>VLOOKUP(A9,A1:E9,4,0)</f>
        <v>42000</v>
      </c>
    </row>
    <row r="6" spans="1:15" x14ac:dyDescent="0.3">
      <c r="A6" s="2" t="s">
        <v>23</v>
      </c>
      <c r="B6" s="2" t="s">
        <v>24</v>
      </c>
      <c r="C6" s="2" t="s">
        <v>25</v>
      </c>
      <c r="D6" s="2">
        <v>40000</v>
      </c>
      <c r="E6" s="2" t="s">
        <v>26</v>
      </c>
      <c r="H6" s="3" t="s">
        <v>27</v>
      </c>
      <c r="I6" s="3" t="str">
        <f>VLOOKUP(A6,A1:E9,5,0)</f>
        <v>Pune</v>
      </c>
    </row>
    <row r="7" spans="1:15" x14ac:dyDescent="0.3">
      <c r="A7" s="2" t="s">
        <v>28</v>
      </c>
      <c r="B7" s="2" t="s">
        <v>29</v>
      </c>
      <c r="C7" s="2" t="s">
        <v>7</v>
      </c>
      <c r="D7" s="2">
        <v>36000</v>
      </c>
      <c r="E7" s="2" t="s">
        <v>8</v>
      </c>
    </row>
    <row r="8" spans="1:15" x14ac:dyDescent="0.3">
      <c r="A8" s="2" t="s">
        <v>30</v>
      </c>
      <c r="B8" s="2" t="s">
        <v>31</v>
      </c>
      <c r="C8" s="2" t="s">
        <v>17</v>
      </c>
      <c r="D8" s="2">
        <v>47000</v>
      </c>
      <c r="E8" s="2" t="s">
        <v>13</v>
      </c>
    </row>
    <row r="9" spans="1:15" x14ac:dyDescent="0.3">
      <c r="A9" s="2" t="s">
        <v>32</v>
      </c>
      <c r="B9" s="2" t="s">
        <v>33</v>
      </c>
      <c r="C9" s="2" t="s">
        <v>25</v>
      </c>
      <c r="D9" s="2">
        <v>42000</v>
      </c>
      <c r="E9" s="2" t="s">
        <v>34</v>
      </c>
    </row>
    <row r="10" spans="1:15" x14ac:dyDescent="0.3">
      <c r="A10" s="2"/>
      <c r="B10" s="2"/>
      <c r="C10" s="2"/>
      <c r="D10" s="2"/>
      <c r="E10" s="2"/>
    </row>
  </sheetData>
  <mergeCells count="1">
    <mergeCell ref="H2:I2"/>
  </mergeCells>
  <dataValidations count="1">
    <dataValidation type="list" allowBlank="1" showInputMessage="1" showErrorMessage="1" sqref="K3 N3" xr:uid="{CCA99579-4F40-405F-AC4F-48436565A862}">
      <formula1>$A$2:$A$9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6"/>
  <sheetViews>
    <sheetView tabSelected="1" workbookViewId="0">
      <selection activeCell="M14" sqref="M14"/>
    </sheetView>
  </sheetViews>
  <sheetFormatPr defaultRowHeight="14.4" x14ac:dyDescent="0.3"/>
  <cols>
    <col min="8" max="8" width="13.44140625" bestFit="1" customWidth="1"/>
    <col min="11" max="11" width="11.5546875" bestFit="1" customWidth="1"/>
    <col min="14" max="14" width="11.21875" bestFit="1" customWidth="1"/>
    <col min="15" max="15" width="14.88671875" bestFit="1" customWidth="1"/>
  </cols>
  <sheetData>
    <row r="1" spans="1:15" x14ac:dyDescent="0.3">
      <c r="A1" s="6" t="s">
        <v>35</v>
      </c>
      <c r="B1" s="6" t="s">
        <v>1</v>
      </c>
      <c r="C1" s="6" t="s">
        <v>36</v>
      </c>
      <c r="D1" s="6" t="s">
        <v>37</v>
      </c>
      <c r="E1" s="6" t="s">
        <v>38</v>
      </c>
      <c r="H1" s="4" t="s">
        <v>9</v>
      </c>
      <c r="I1" s="4"/>
      <c r="J1" s="4"/>
      <c r="K1" s="4"/>
      <c r="L1" s="4"/>
      <c r="M1" s="4"/>
      <c r="N1" s="4"/>
      <c r="O1" s="4"/>
    </row>
    <row r="2" spans="1:15" x14ac:dyDescent="0.3">
      <c r="A2" s="8" t="s">
        <v>39</v>
      </c>
      <c r="B2" s="8" t="s">
        <v>40</v>
      </c>
      <c r="C2" s="8">
        <v>78</v>
      </c>
      <c r="D2" s="8">
        <v>82</v>
      </c>
      <c r="E2" s="8">
        <v>74</v>
      </c>
      <c r="H2" s="8" t="s">
        <v>43</v>
      </c>
      <c r="I2" s="8">
        <f>VLOOKUP(A4,A1:E6,3,0)</f>
        <v>88</v>
      </c>
      <c r="J2" s="5"/>
      <c r="K2" s="9" t="s">
        <v>92</v>
      </c>
      <c r="L2" s="9" t="s">
        <v>93</v>
      </c>
      <c r="M2" s="5"/>
      <c r="N2" s="9" t="s">
        <v>94</v>
      </c>
      <c r="O2" s="9" t="s">
        <v>95</v>
      </c>
    </row>
    <row r="3" spans="1:15" x14ac:dyDescent="0.3">
      <c r="A3" s="8" t="s">
        <v>41</v>
      </c>
      <c r="B3" s="8" t="s">
        <v>42</v>
      </c>
      <c r="C3" s="8">
        <v>65</v>
      </c>
      <c r="D3" s="8">
        <v>70</v>
      </c>
      <c r="E3" s="8">
        <v>68</v>
      </c>
      <c r="H3" s="8" t="s">
        <v>46</v>
      </c>
      <c r="I3" s="8">
        <f>VLOOKUP(A3,A1:E6,4,0)</f>
        <v>70</v>
      </c>
      <c r="J3" s="5"/>
      <c r="K3" s="8" t="s">
        <v>41</v>
      </c>
      <c r="L3" s="8" t="str">
        <f>VLOOKUP(K3,A1:E6,2,0)</f>
        <v>Ravi</v>
      </c>
      <c r="M3" s="5"/>
      <c r="N3" s="8" t="s">
        <v>41</v>
      </c>
      <c r="O3" s="8">
        <f>VLOOKUP(N3,A1:E6,4,0)</f>
        <v>70</v>
      </c>
    </row>
    <row r="4" spans="1:15" x14ac:dyDescent="0.3">
      <c r="A4" s="8" t="s">
        <v>44</v>
      </c>
      <c r="B4" s="8" t="s">
        <v>45</v>
      </c>
      <c r="C4" s="8">
        <v>88</v>
      </c>
      <c r="D4" s="8">
        <v>91</v>
      </c>
      <c r="E4" s="8">
        <v>85</v>
      </c>
      <c r="H4" s="8" t="s">
        <v>48</v>
      </c>
      <c r="I4" s="8">
        <f>VLOOKUP(A6,A1:E6,5,0)</f>
        <v>89</v>
      </c>
      <c r="J4" s="5"/>
      <c r="K4" s="5"/>
      <c r="L4" s="5"/>
      <c r="M4" s="5"/>
      <c r="N4" s="5"/>
      <c r="O4" s="5"/>
    </row>
    <row r="5" spans="1:15" x14ac:dyDescent="0.3">
      <c r="A5" s="8" t="s">
        <v>47</v>
      </c>
      <c r="B5" s="8" t="s">
        <v>24</v>
      </c>
      <c r="C5" s="8">
        <v>72</v>
      </c>
      <c r="D5" s="8">
        <v>75</v>
      </c>
      <c r="E5" s="8">
        <v>70</v>
      </c>
    </row>
    <row r="6" spans="1:15" x14ac:dyDescent="0.3">
      <c r="A6" s="8" t="s">
        <v>49</v>
      </c>
      <c r="B6" s="8" t="s">
        <v>50</v>
      </c>
      <c r="C6" s="8">
        <v>90</v>
      </c>
      <c r="D6" s="8">
        <v>93</v>
      </c>
      <c r="E6" s="8">
        <v>89</v>
      </c>
    </row>
  </sheetData>
  <mergeCells count="1">
    <mergeCell ref="H1:O1"/>
  </mergeCells>
  <dataValidations count="1">
    <dataValidation type="list" allowBlank="1" showInputMessage="1" showErrorMessage="1" sqref="K3 N3" xr:uid="{5A66403D-F629-4695-9D8C-75898977B642}">
      <formula1>$A$2:$A$6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6"/>
  <sheetViews>
    <sheetView workbookViewId="0">
      <selection activeCell="H19" sqref="H19"/>
    </sheetView>
  </sheetViews>
  <sheetFormatPr defaultRowHeight="14.4" x14ac:dyDescent="0.3"/>
  <cols>
    <col min="1" max="1" width="12.6640625" bestFit="1" customWidth="1"/>
    <col min="2" max="2" width="7" bestFit="1" customWidth="1"/>
    <col min="3" max="3" width="8.33203125" bestFit="1" customWidth="1"/>
    <col min="4" max="4" width="5" bestFit="1" customWidth="1"/>
    <col min="5" max="5" width="7.6640625" bestFit="1" customWidth="1"/>
    <col min="6" max="6" width="6.44140625" bestFit="1" customWidth="1"/>
    <col min="8" max="8" width="16.44140625" bestFit="1" customWidth="1"/>
    <col min="9" max="9" width="11.5546875" customWidth="1"/>
    <col min="11" max="11" width="11.88671875" bestFit="1" customWidth="1"/>
    <col min="14" max="14" width="11.88671875" bestFit="1" customWidth="1"/>
  </cols>
  <sheetData>
    <row r="1" spans="1:15" x14ac:dyDescent="0.3">
      <c r="A1" s="6" t="s">
        <v>51</v>
      </c>
      <c r="B1" s="6" t="s">
        <v>52</v>
      </c>
      <c r="C1" s="6" t="s">
        <v>53</v>
      </c>
      <c r="D1" s="6" t="s">
        <v>54</v>
      </c>
      <c r="E1" s="6" t="s">
        <v>55</v>
      </c>
      <c r="F1" s="6" t="s">
        <v>56</v>
      </c>
    </row>
    <row r="2" spans="1:15" x14ac:dyDescent="0.3">
      <c r="A2" s="7" t="s">
        <v>57</v>
      </c>
      <c r="B2" s="7" t="s">
        <v>58</v>
      </c>
      <c r="C2" s="7" t="s">
        <v>59</v>
      </c>
      <c r="D2" s="7" t="s">
        <v>60</v>
      </c>
      <c r="E2" s="7" t="s">
        <v>61</v>
      </c>
      <c r="F2" s="7" t="s">
        <v>62</v>
      </c>
      <c r="H2" s="4" t="s">
        <v>63</v>
      </c>
      <c r="I2" s="4"/>
      <c r="J2" s="4"/>
      <c r="K2" s="4"/>
      <c r="L2" s="4"/>
      <c r="M2" s="4"/>
      <c r="N2" s="4"/>
      <c r="O2" s="4"/>
    </row>
    <row r="3" spans="1:15" x14ac:dyDescent="0.3">
      <c r="A3" s="7" t="s">
        <v>64</v>
      </c>
      <c r="B3" s="7">
        <v>55000</v>
      </c>
      <c r="C3" s="7">
        <v>500</v>
      </c>
      <c r="D3" s="7">
        <v>1200</v>
      </c>
      <c r="E3" s="7">
        <v>9000</v>
      </c>
      <c r="F3" s="7">
        <v>7000</v>
      </c>
      <c r="H3" s="8" t="s">
        <v>65</v>
      </c>
      <c r="I3" s="8">
        <f>HLOOKUP(D1,A1:F4,3,0)</f>
        <v>1200</v>
      </c>
      <c r="J3" s="5"/>
      <c r="K3" s="9" t="s">
        <v>96</v>
      </c>
      <c r="L3" s="9" t="s">
        <v>97</v>
      </c>
      <c r="M3" s="5"/>
      <c r="N3" s="9" t="s">
        <v>96</v>
      </c>
      <c r="O3" s="9" t="s">
        <v>98</v>
      </c>
    </row>
    <row r="4" spans="1:15" x14ac:dyDescent="0.3">
      <c r="A4" s="7" t="s">
        <v>66</v>
      </c>
      <c r="B4" s="7">
        <v>25</v>
      </c>
      <c r="C4" s="7">
        <v>150</v>
      </c>
      <c r="D4" s="7">
        <v>80</v>
      </c>
      <c r="E4" s="7">
        <v>40</v>
      </c>
      <c r="F4" s="7">
        <v>35</v>
      </c>
      <c r="H4" s="8" t="s">
        <v>67</v>
      </c>
      <c r="I4" s="8">
        <f>HLOOKUP(E1,A1:F4,4,0)</f>
        <v>40</v>
      </c>
      <c r="J4" s="5"/>
      <c r="K4" s="8" t="s">
        <v>52</v>
      </c>
      <c r="L4" s="8">
        <f>HLOOKUP(K4,A1:F4,3,0)</f>
        <v>55000</v>
      </c>
      <c r="M4" s="5"/>
      <c r="N4" s="8" t="s">
        <v>52</v>
      </c>
      <c r="O4" s="8">
        <f>HLOOKUP(N4,A1:F4,4,0)</f>
        <v>25</v>
      </c>
    </row>
    <row r="5" spans="1:15" x14ac:dyDescent="0.3">
      <c r="H5" s="8" t="s">
        <v>68</v>
      </c>
      <c r="I5" s="8" t="str">
        <f>HLOOKUP(B1,A1:F4,2,0)</f>
        <v>Laptop</v>
      </c>
      <c r="J5" s="5"/>
      <c r="K5" s="8"/>
      <c r="L5" s="8"/>
      <c r="M5" s="5"/>
      <c r="N5" s="8"/>
      <c r="O5" s="8"/>
    </row>
    <row r="11" spans="1:15" x14ac:dyDescent="0.3">
      <c r="A11" s="6" t="s">
        <v>69</v>
      </c>
      <c r="B11" s="6" t="s">
        <v>1</v>
      </c>
      <c r="C11" s="6" t="s">
        <v>70</v>
      </c>
      <c r="D11" s="6" t="s">
        <v>71</v>
      </c>
      <c r="H11" s="4" t="s">
        <v>86</v>
      </c>
      <c r="I11" s="4"/>
      <c r="J11" s="4"/>
      <c r="K11" s="4"/>
      <c r="L11" s="4"/>
      <c r="M11" s="4"/>
      <c r="N11" s="4"/>
      <c r="O11" s="4"/>
    </row>
    <row r="12" spans="1:15" x14ac:dyDescent="0.3">
      <c r="A12" s="7" t="s">
        <v>72</v>
      </c>
      <c r="B12" s="7" t="s">
        <v>73</v>
      </c>
      <c r="C12" s="7" t="s">
        <v>74</v>
      </c>
      <c r="D12" s="7">
        <v>3000</v>
      </c>
      <c r="H12" s="8" t="s">
        <v>87</v>
      </c>
      <c r="I12" s="8" t="str">
        <f>VLOOKUP(A14,A11:D16,3,0)</f>
        <v>SQL</v>
      </c>
      <c r="J12" s="5"/>
      <c r="K12" s="9" t="s">
        <v>99</v>
      </c>
      <c r="L12" s="9" t="s">
        <v>93</v>
      </c>
      <c r="M12" s="5"/>
      <c r="N12" s="9" t="s">
        <v>99</v>
      </c>
      <c r="O12" s="9" t="s">
        <v>100</v>
      </c>
    </row>
    <row r="13" spans="1:15" x14ac:dyDescent="0.3">
      <c r="A13" s="7" t="s">
        <v>75</v>
      </c>
      <c r="B13" s="7" t="s">
        <v>76</v>
      </c>
      <c r="C13" s="7" t="s">
        <v>77</v>
      </c>
      <c r="D13" s="7">
        <v>5000</v>
      </c>
      <c r="H13" s="8" t="s">
        <v>88</v>
      </c>
      <c r="I13" s="8">
        <f>VLOOKUP(A15,A11:D16,4,0)</f>
        <v>6000</v>
      </c>
      <c r="J13" s="5"/>
      <c r="K13" s="8" t="s">
        <v>75</v>
      </c>
      <c r="L13" s="8" t="str">
        <f>VLOOKUP(K13,A11:D16,2,0)</f>
        <v>Ananya</v>
      </c>
      <c r="M13" s="5"/>
      <c r="N13" s="8" t="s">
        <v>75</v>
      </c>
      <c r="O13" s="8">
        <f>VLOOKUP(N13,A11:D16,4,0)</f>
        <v>5000</v>
      </c>
    </row>
    <row r="14" spans="1:15" x14ac:dyDescent="0.3">
      <c r="A14" s="7" t="s">
        <v>78</v>
      </c>
      <c r="B14" s="7" t="s">
        <v>79</v>
      </c>
      <c r="C14" s="7" t="s">
        <v>80</v>
      </c>
      <c r="D14" s="7">
        <v>4000</v>
      </c>
    </row>
    <row r="15" spans="1:15" x14ac:dyDescent="0.3">
      <c r="A15" s="7" t="s">
        <v>81</v>
      </c>
      <c r="B15" s="7" t="s">
        <v>11</v>
      </c>
      <c r="C15" s="7" t="s">
        <v>82</v>
      </c>
      <c r="D15" s="7">
        <v>6000</v>
      </c>
    </row>
    <row r="16" spans="1:15" x14ac:dyDescent="0.3">
      <c r="A16" s="7" t="s">
        <v>83</v>
      </c>
      <c r="B16" s="7" t="s">
        <v>84</v>
      </c>
      <c r="C16" s="7" t="s">
        <v>85</v>
      </c>
      <c r="D16" s="7">
        <v>4500</v>
      </c>
    </row>
  </sheetData>
  <mergeCells count="2">
    <mergeCell ref="H2:O2"/>
    <mergeCell ref="H11:O11"/>
  </mergeCells>
  <dataValidations count="2">
    <dataValidation type="list" allowBlank="1" showInputMessage="1" showErrorMessage="1" sqref="K4 N4" xr:uid="{563A914B-9A82-4C4E-8C1C-622629841CFB}">
      <formula1>$B$1:$F$1</formula1>
    </dataValidation>
    <dataValidation type="list" allowBlank="1" showInputMessage="1" showErrorMessage="1" sqref="K13 N13" xr:uid="{C1F5CFBE-24CA-4CD2-89CE-7DBB064184D5}">
      <formula1>$A$12:$A$16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Employee VLOOKUP</vt:lpstr>
      <vt:lpstr>Student VLOOKUP</vt:lpstr>
      <vt:lpstr>HLOOKUP &amp; VLOOKUP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sohomdey58@gmail.com</cp:lastModifiedBy>
  <dcterms:created xsi:type="dcterms:W3CDTF">2026-08-07T08:49:11Z</dcterms:created>
  <dcterms:modified xsi:type="dcterms:W3CDTF">2026-08-07T09:46:50Z</dcterms:modified>
</cp:coreProperties>
</file>