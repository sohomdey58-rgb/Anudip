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9EDC26D8-BE05-4DFF-A9A1-C94E3930271F}" xr6:coauthVersionLast="47" xr6:coauthVersionMax="47" xr10:uidLastSave="{00000000-0000-0000-0000-000000000000}"/>
  <bookViews>
    <workbookView xWindow="11424" yWindow="0" windowWidth="11712" windowHeight="13056" xr2:uid="{B275022F-1C1C-4C40-87FB-494BA723265E}"/>
  </bookViews>
  <sheets>
    <sheet name="Sheet1" sheetId="1" r:id="rId1"/>
  </sheets>
  <definedNames>
    <definedName name="dataset">Sheet1!$A$1:$O$501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1" i="1" l="1" a="1"/>
  <c r="T41" i="1" s="1"/>
  <c r="S38" i="1" a="1"/>
  <c r="S38" i="1" s="1"/>
  <c r="S35" i="1" a="1"/>
  <c r="S35" i="1" s="1"/>
  <c r="T18" i="1" a="1"/>
  <c r="T18" i="1" s="1"/>
  <c r="U18" i="1" a="1"/>
  <c r="U18" i="1" s="1"/>
  <c r="V18" i="1" a="1"/>
  <c r="V18" i="1" s="1"/>
  <c r="S18" i="1" a="1"/>
  <c r="S18" i="1" s="1"/>
  <c r="S14" i="1" a="1"/>
  <c r="S14" i="1" s="1"/>
  <c r="S15" i="1" a="1"/>
  <c r="S15" i="1" s="1"/>
  <c r="S13" i="1" a="1"/>
  <c r="S13" i="1" s="1"/>
  <c r="S12" i="1" a="1"/>
  <c r="S12" i="1" s="1"/>
  <c r="S9" i="1"/>
  <c r="S6" i="1"/>
  <c r="S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<sst xmlns="http://schemas.openxmlformats.org/spreadsheetml/2006/main" count="3572" uniqueCount="71">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</sst>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F501"/>
  <sheetViews>
    <sheetView tabSelected="1" topLeftCell="M31" zoomScale="75" workbookViewId="0">
      <selection activeCell="R43" sqref="R43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4" width="10.88671875" bestFit="1" customWidth="1"/>
    <col min="5" max="5" width="10.109375" bestFit="1" customWidth="1"/>
    <col min="6" max="6" width="11.77734375" bestFit="1" customWidth="1"/>
    <col min="7" max="7" width="12.6640625" bestFit="1" customWidth="1"/>
    <col min="8" max="8" width="16" bestFit="1" customWidth="1"/>
    <col min="9" max="9" width="15.77734375" bestFit="1" customWidth="1"/>
    <col min="10" max="10" width="13.21875" bestFit="1" customWidth="1"/>
    <col min="11" max="11" width="7.109375" bestFit="1" customWidth="1"/>
    <col min="12" max="12" width="9.5546875" bestFit="1" customWidth="1"/>
    <col min="13" max="13" width="9.33203125" bestFit="1" customWidth="1"/>
    <col min="14" max="14" width="10.33203125" bestFit="1" customWidth="1"/>
    <col min="15" max="15" width="9.6640625" bestFit="1" customWidth="1"/>
    <col min="18" max="19" width="15.88671875" bestFit="1" customWidth="1"/>
    <col min="20" max="20" width="10.6640625" bestFit="1" customWidth="1"/>
    <col min="21" max="21" width="10.88671875" bestFit="1" customWidth="1"/>
    <col min="22" max="22" width="10.5546875" bestFit="1" customWidth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3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R2" s="3" t="s">
        <v>0</v>
      </c>
      <c r="S2" s="3" t="s">
        <v>14</v>
      </c>
    </row>
    <row r="3" spans="1:3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R3" s="1">
        <v>10002</v>
      </c>
      <c r="S3" s="1">
        <f>_xlfn.XLOOKUP(R3,A2:A501,O2:O501)</f>
        <v>21590.720000000001</v>
      </c>
    </row>
    <row r="4" spans="1:3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3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R5" s="3" t="s">
        <v>1</v>
      </c>
      <c r="S5" s="3" t="s">
        <v>4</v>
      </c>
    </row>
    <row r="6" spans="1:32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R6" s="1">
        <v>1435</v>
      </c>
      <c r="S6" t="str">
        <f>_xlfn.XLOOKUP(R6,B2:B501,E2:E501)</f>
        <v>Pune</v>
      </c>
    </row>
    <row r="7" spans="1:3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</row>
    <row r="8" spans="1:3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R8" s="3" t="s">
        <v>1</v>
      </c>
      <c r="S8" s="3" t="s">
        <v>70</v>
      </c>
    </row>
    <row r="9" spans="1:3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R9" s="1">
        <v>14499</v>
      </c>
      <c r="S9" s="1" t="str">
        <f>_xlfn.XLOOKUP(R9,B2:B501,J2:J501,"not Found")</f>
        <v>not Found</v>
      </c>
    </row>
    <row r="10" spans="1:3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3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R11" s="3" t="s">
        <v>0</v>
      </c>
      <c r="S11" s="3" t="s">
        <v>1</v>
      </c>
      <c r="T11" s="3" t="s">
        <v>2</v>
      </c>
      <c r="U11" s="3" t="s">
        <v>3</v>
      </c>
      <c r="V11" s="3" t="s">
        <v>4</v>
      </c>
      <c r="W11" s="3" t="s">
        <v>5</v>
      </c>
      <c r="X11" s="3" t="s">
        <v>6</v>
      </c>
      <c r="Y11" s="3" t="s">
        <v>7</v>
      </c>
      <c r="Z11" s="3" t="s">
        <v>8</v>
      </c>
      <c r="AA11" s="3" t="s">
        <v>9</v>
      </c>
      <c r="AB11" s="3" t="s">
        <v>10</v>
      </c>
      <c r="AC11" s="3" t="s">
        <v>11</v>
      </c>
      <c r="AD11" s="3" t="s">
        <v>12</v>
      </c>
      <c r="AE11" s="3" t="s">
        <v>13</v>
      </c>
      <c r="AF11" s="3" t="s">
        <v>14</v>
      </c>
    </row>
    <row r="12" spans="1:3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R12" s="1">
        <v>10003</v>
      </c>
      <c r="S12" s="1" cm="1">
        <f t="array" ref="S12:AF12">_xlfn.XLOOKUP(R12,A2:A501,B2:O501)</f>
        <v>1860</v>
      </c>
      <c r="T12" s="2">
        <v>45109</v>
      </c>
      <c r="U12" s="2">
        <v>45114</v>
      </c>
      <c r="V12" s="1" t="str">
        <v>Chennai</v>
      </c>
      <c r="W12" s="1" t="str">
        <v>West Bengal</v>
      </c>
      <c r="X12" s="1" t="str">
        <v>Marketplace</v>
      </c>
      <c r="Y12" s="1" t="str">
        <v>Debit Card</v>
      </c>
      <c r="Z12" s="1" t="str">
        <v>Fashion</v>
      </c>
      <c r="AA12" s="1" t="str">
        <v>Sneakers</v>
      </c>
      <c r="AB12" s="1" t="str">
        <v>BrandE</v>
      </c>
      <c r="AC12" s="1">
        <v>6</v>
      </c>
      <c r="AD12" s="1">
        <v>3474.34</v>
      </c>
      <c r="AE12" s="1">
        <v>15</v>
      </c>
      <c r="AF12" s="1">
        <v>17719.13</v>
      </c>
    </row>
    <row r="13" spans="1:3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R13" s="1">
        <v>10002</v>
      </c>
      <c r="S13" s="1" cm="1">
        <f t="array" ref="S13:AF13">_xlfn.XLOOKUP(R13,$A$2:$A$501,$B$2:$O$501)</f>
        <v>1435</v>
      </c>
      <c r="T13" s="2">
        <v>45199</v>
      </c>
      <c r="U13" s="2">
        <v>45203</v>
      </c>
      <c r="V13" s="1" t="str">
        <v>Pune</v>
      </c>
      <c r="W13" s="1" t="str">
        <v>Tamil Nadu</v>
      </c>
      <c r="X13" s="1" t="str">
        <v>Website</v>
      </c>
      <c r="Y13" s="1" t="str">
        <v>Debit Card</v>
      </c>
      <c r="Z13" s="1" t="str">
        <v>Sports</v>
      </c>
      <c r="AA13" s="1" t="str">
        <v>Football</v>
      </c>
      <c r="AB13" s="1" t="str">
        <v>BrandD</v>
      </c>
      <c r="AC13" s="1">
        <v>9</v>
      </c>
      <c r="AD13" s="1">
        <v>2525.23</v>
      </c>
      <c r="AE13" s="1">
        <v>5</v>
      </c>
      <c r="AF13" s="1">
        <v>21590.720000000001</v>
      </c>
    </row>
    <row r="14" spans="1:3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R14" s="1">
        <v>10006</v>
      </c>
      <c r="S14" s="1" cm="1">
        <f t="array" ref="S14:AF14">_xlfn.XLOOKUP(R14,$A$2:$A$501,$B$2:$O$501)</f>
        <v>1071</v>
      </c>
      <c r="T14" s="2">
        <v>45260</v>
      </c>
      <c r="U14" s="2">
        <v>45263</v>
      </c>
      <c r="V14" s="1" t="str">
        <v>Hyderabad</v>
      </c>
      <c r="W14" s="1" t="str">
        <v>Telangana</v>
      </c>
      <c r="X14" s="1" t="str">
        <v>Website</v>
      </c>
      <c r="Y14" s="1" t="str">
        <v>Net Banking</v>
      </c>
      <c r="Z14" s="1" t="str">
        <v>Home &amp; Kitchen</v>
      </c>
      <c r="AA14" s="1" t="str">
        <v>Bedsheet</v>
      </c>
      <c r="AB14" s="1" t="str">
        <v>BrandE</v>
      </c>
      <c r="AC14" s="1">
        <v>3</v>
      </c>
      <c r="AD14" s="1">
        <v>3189.55</v>
      </c>
      <c r="AE14" s="1">
        <v>10</v>
      </c>
      <c r="AF14" s="1">
        <v>8611.7800000000007</v>
      </c>
    </row>
    <row r="15" spans="1:3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R15" s="1">
        <v>10009</v>
      </c>
      <c r="S15" s="1" cm="1">
        <f t="array" ref="S15:AF15">_xlfn.XLOOKUP(R15,$A$2:$A$501,$B$2:$O$501)</f>
        <v>1614</v>
      </c>
      <c r="T15" s="2">
        <v>45204</v>
      </c>
      <c r="U15" s="2">
        <v>45213</v>
      </c>
      <c r="V15" s="1" t="str">
        <v>Chennai</v>
      </c>
      <c r="W15" s="1" t="str">
        <v>West Bengal</v>
      </c>
      <c r="X15" s="1" t="str">
        <v>Website</v>
      </c>
      <c r="Y15" s="1" t="str">
        <v>Debit Card</v>
      </c>
      <c r="Z15" s="1" t="str">
        <v>Fashion</v>
      </c>
      <c r="AA15" s="1" t="str">
        <v>T-Shirt</v>
      </c>
      <c r="AB15" s="1" t="str">
        <v>BrandD</v>
      </c>
      <c r="AC15" s="1">
        <v>5</v>
      </c>
      <c r="AD15" s="1">
        <v>1098.04</v>
      </c>
      <c r="AE15" s="1">
        <v>15</v>
      </c>
      <c r="AF15" s="1">
        <v>4666.67</v>
      </c>
    </row>
    <row r="16" spans="1:3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22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R17" s="3" t="s">
        <v>0</v>
      </c>
      <c r="S17" s="1">
        <v>10003</v>
      </c>
      <c r="T17" s="1">
        <v>10002</v>
      </c>
      <c r="U17" s="1">
        <v>10007</v>
      </c>
      <c r="V17" s="1">
        <v>10008</v>
      </c>
    </row>
    <row r="18" spans="1:22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R18" s="3" t="s">
        <v>1</v>
      </c>
      <c r="S18" s="1" cm="1">
        <f t="array" ref="S18:S31">TRANSPOSE(_xlfn.XLOOKUP(S17,$A$2:$A$501,$B$2:$O$501))</f>
        <v>1860</v>
      </c>
      <c r="T18" s="1" cm="1">
        <f t="array" ref="T18:T31">TRANSPOSE(_xlfn.XLOOKUP(T17,$A$2:$A$501,$B$2:$O$501))</f>
        <v>1435</v>
      </c>
      <c r="U18" s="1" cm="1">
        <f t="array" ref="U18:U31">TRANSPOSE(_xlfn.XLOOKUP(U17,$A$2:$A$501,$B$2:$O$501))</f>
        <v>1700</v>
      </c>
      <c r="V18" s="1" cm="1">
        <f t="array" ref="V18:V31">TRANSPOSE(_xlfn.XLOOKUP(V17,$A$2:$A$501,$B$2:$O$501))</f>
        <v>1020</v>
      </c>
    </row>
    <row r="19" spans="1:22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R19" s="3" t="s">
        <v>2</v>
      </c>
      <c r="S19" s="1">
        <v>45109</v>
      </c>
      <c r="T19" s="1">
        <v>45199</v>
      </c>
      <c r="U19" s="1">
        <v>45050</v>
      </c>
      <c r="V19" s="1">
        <v>45040</v>
      </c>
    </row>
    <row r="20" spans="1:22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R20" s="3" t="s">
        <v>3</v>
      </c>
      <c r="S20" s="1">
        <v>45114</v>
      </c>
      <c r="T20" s="1">
        <v>45203</v>
      </c>
      <c r="U20" s="1">
        <v>45054</v>
      </c>
      <c r="V20" s="1">
        <v>45041</v>
      </c>
    </row>
    <row r="21" spans="1:22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R21" s="3" t="s">
        <v>4</v>
      </c>
      <c r="S21" s="1" t="str">
        <v>Chennai</v>
      </c>
      <c r="T21" s="1" t="str">
        <v>Pune</v>
      </c>
      <c r="U21" s="1" t="str">
        <v>Bengaluru</v>
      </c>
      <c r="V21" s="1" t="str">
        <v>Mumbai</v>
      </c>
    </row>
    <row r="22" spans="1:22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R22" s="3" t="s">
        <v>5</v>
      </c>
      <c r="S22" s="1" t="str">
        <v>West Bengal</v>
      </c>
      <c r="T22" s="1" t="str">
        <v>Tamil Nadu</v>
      </c>
      <c r="U22" s="1" t="str">
        <v>Telangana</v>
      </c>
      <c r="V22" s="1" t="str">
        <v>Delhi</v>
      </c>
    </row>
    <row r="23" spans="1:22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R23" s="3" t="s">
        <v>6</v>
      </c>
      <c r="S23" s="1" t="str">
        <v>Marketplace</v>
      </c>
      <c r="T23" s="1" t="str">
        <v>Website</v>
      </c>
      <c r="U23" s="1" t="str">
        <v>Mobile App</v>
      </c>
      <c r="V23" s="1" t="str">
        <v>Website</v>
      </c>
    </row>
    <row r="24" spans="1:22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R24" s="3" t="s">
        <v>7</v>
      </c>
      <c r="S24" s="1" t="str">
        <v>Debit Card</v>
      </c>
      <c r="T24" s="1" t="str">
        <v>Debit Card</v>
      </c>
      <c r="U24" s="1" t="str">
        <v>UPI</v>
      </c>
      <c r="V24" s="1" t="str">
        <v>Credit Card</v>
      </c>
    </row>
    <row r="25" spans="1:22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R25" s="3" t="s">
        <v>8</v>
      </c>
      <c r="S25" s="1" t="str">
        <v>Fashion</v>
      </c>
      <c r="T25" s="1" t="str">
        <v>Sports</v>
      </c>
      <c r="U25" s="1" t="str">
        <v>Fashion</v>
      </c>
      <c r="V25" s="1" t="str">
        <v>Fashion</v>
      </c>
    </row>
    <row r="26" spans="1:22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R26" s="3" t="s">
        <v>9</v>
      </c>
      <c r="S26" s="1" t="str">
        <v>Sneakers</v>
      </c>
      <c r="T26" s="1" t="str">
        <v>Football</v>
      </c>
      <c r="U26" s="1" t="str">
        <v>Sneakers</v>
      </c>
      <c r="V26" s="1" t="str">
        <v>Sneakers</v>
      </c>
    </row>
    <row r="27" spans="1:22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R27" s="3" t="s">
        <v>10</v>
      </c>
      <c r="S27" s="1" t="str">
        <v>BrandE</v>
      </c>
      <c r="T27" s="1" t="str">
        <v>BrandD</v>
      </c>
      <c r="U27" s="1" t="str">
        <v>BrandC</v>
      </c>
      <c r="V27" s="1" t="str">
        <v>BrandB</v>
      </c>
    </row>
    <row r="28" spans="1:22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R28" s="3" t="s">
        <v>11</v>
      </c>
      <c r="S28" s="1">
        <v>6</v>
      </c>
      <c r="T28" s="1">
        <v>9</v>
      </c>
      <c r="U28" s="1">
        <v>5</v>
      </c>
      <c r="V28" s="1">
        <v>4</v>
      </c>
    </row>
    <row r="29" spans="1:22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R29" s="3" t="s">
        <v>12</v>
      </c>
      <c r="S29" s="1">
        <v>3474.34</v>
      </c>
      <c r="T29" s="1">
        <v>2525.23</v>
      </c>
      <c r="U29" s="1">
        <v>3030.42</v>
      </c>
      <c r="V29" s="1">
        <v>2310.83</v>
      </c>
    </row>
    <row r="30" spans="1:22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R30" s="3" t="s">
        <v>13</v>
      </c>
      <c r="S30" s="1">
        <v>15</v>
      </c>
      <c r="T30" s="1">
        <v>5</v>
      </c>
      <c r="U30" s="1">
        <v>10</v>
      </c>
      <c r="V30" s="1">
        <v>10</v>
      </c>
    </row>
    <row r="31" spans="1:22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R31" s="3" t="s">
        <v>14</v>
      </c>
      <c r="S31">
        <v>17719.13</v>
      </c>
      <c r="T31" s="1">
        <v>21590.720000000001</v>
      </c>
      <c r="U31" s="1">
        <v>13636.89</v>
      </c>
      <c r="V31" s="1">
        <v>8318.99</v>
      </c>
    </row>
    <row r="32" spans="1:22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32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32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R34" s="3" t="s">
        <v>0</v>
      </c>
      <c r="S34" s="3" t="s">
        <v>7</v>
      </c>
      <c r="T34" s="3" t="s">
        <v>14</v>
      </c>
    </row>
    <row r="35" spans="1:32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R35" s="1">
        <v>10003</v>
      </c>
      <c r="S35" t="str" cm="1">
        <f t="array" ref="S35:T35">_xlfn.XLOOKUP(R35,A2:A501,CHOOSE({1,2},H2:H501,O2:O501))</f>
        <v>Debit Card</v>
      </c>
      <c r="T35">
        <v>17719.13</v>
      </c>
    </row>
    <row r="36" spans="1:32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32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R37" s="3" t="s">
        <v>0</v>
      </c>
      <c r="S37" s="3" t="s">
        <v>7</v>
      </c>
      <c r="T37" s="3" t="s">
        <v>14</v>
      </c>
    </row>
    <row r="38" spans="1:32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R38" s="1">
        <v>10003</v>
      </c>
      <c r="S38" s="1" t="str" cm="1">
        <f t="array" ref="S38:T38">_xlfn.CHOOSECOLS(_xlfn.XLOOKUP(R38,A2:A501,A2:O501),8,15)</f>
        <v>Debit Card</v>
      </c>
      <c r="T38" s="1">
        <v>17719.13</v>
      </c>
    </row>
    <row r="39" spans="1:32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32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R40" s="3" t="s">
        <v>0</v>
      </c>
      <c r="S40" s="3" t="s">
        <v>1</v>
      </c>
      <c r="T40" s="3" t="s">
        <v>2</v>
      </c>
      <c r="U40" s="3" t="s">
        <v>3</v>
      </c>
      <c r="V40" s="3" t="s">
        <v>4</v>
      </c>
      <c r="W40" s="3" t="s">
        <v>5</v>
      </c>
      <c r="X40" s="3" t="s">
        <v>6</v>
      </c>
      <c r="Y40" s="3" t="s">
        <v>7</v>
      </c>
      <c r="Z40" s="3" t="s">
        <v>8</v>
      </c>
      <c r="AA40" s="3" t="s">
        <v>9</v>
      </c>
      <c r="AB40" s="3" t="s">
        <v>10</v>
      </c>
      <c r="AC40" s="3" t="s">
        <v>11</v>
      </c>
      <c r="AD40" s="3" t="s">
        <v>12</v>
      </c>
      <c r="AE40" s="3" t="s">
        <v>13</v>
      </c>
      <c r="AF40" s="3" t="s">
        <v>14</v>
      </c>
    </row>
    <row r="41" spans="1:32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R41" s="1">
        <v>10003</v>
      </c>
      <c r="S41" s="1">
        <v>1860</v>
      </c>
      <c r="T41" s="1" cm="1">
        <f t="array" ref="T41:AF41">_xlfn.XLOOKUP(R41&amp;S41,A2:A501&amp;B2:B501,C2:O501)</f>
        <v>45109</v>
      </c>
      <c r="U41" s="1">
        <v>45114</v>
      </c>
      <c r="V41" s="1" t="str">
        <v>Chennai</v>
      </c>
      <c r="W41" s="1" t="str">
        <v>West Bengal</v>
      </c>
      <c r="X41" s="1" t="str">
        <v>Marketplace</v>
      </c>
      <c r="Y41" s="1" t="str">
        <v>Debit Card</v>
      </c>
      <c r="Z41" s="1" t="str">
        <v>Fashion</v>
      </c>
      <c r="AA41" s="1" t="str">
        <v>Sneakers</v>
      </c>
      <c r="AB41" s="1" t="str">
        <v>BrandE</v>
      </c>
      <c r="AC41" s="1">
        <v>6</v>
      </c>
      <c r="AD41" s="1">
        <v>3474.34</v>
      </c>
      <c r="AE41" s="1">
        <v>15</v>
      </c>
      <c r="AF41" s="1">
        <v>17719.13</v>
      </c>
    </row>
    <row r="42" spans="1:32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32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32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32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32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32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32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dataValidations count="1">
    <dataValidation type="list" allowBlank="1" showInputMessage="1" showErrorMessage="1" sqref="R3 R13:R15 T17:V17" xr:uid="{466F4DB9-F4FC-49B9-9440-EBDA277C2408}">
      <formula1>$A$1:$A$501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sohomdey58@gmail.com</cp:lastModifiedBy>
  <dcterms:created xsi:type="dcterms:W3CDTF">2025-11-28T09:29:24Z</dcterms:created>
  <dcterms:modified xsi:type="dcterms:W3CDTF">2026-08-14T11:08:59Z</dcterms:modified>
</cp:coreProperties>
</file>