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5C1A3EDB-E350-4EF7-BA60-55282DC0889D}" xr6:coauthVersionLast="47" xr6:coauthVersionMax="47" xr10:uidLastSave="{00000000-0000-0000-0000-000000000000}"/>
  <bookViews>
    <workbookView xWindow="-96" yWindow="0" windowWidth="11712" windowHeight="13056" activeTab="2" xr2:uid="{B275022F-1C1C-4C40-87FB-494BA723265E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3" hidden="1">Sheet2!$A$1:$U$502</definedName>
    <definedName name="_xlnm.Criteria" localSheetId="3">Sheet2!$Z$1:$Z$2</definedName>
    <definedName name="_xlnm.Extract" localSheetId="3">Sheet2!$AB$1:$AV$1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4" l="1"/>
  <c r="K8" i="3" a="1"/>
  <c r="K8" i="3" s="1"/>
  <c r="K5" i="3"/>
  <c r="K2" i="3"/>
  <c r="U501" i="2"/>
  <c r="T501" i="2"/>
  <c r="S501" i="2" a="1"/>
  <c r="S501" i="2" s="1"/>
  <c r="R501" i="2"/>
  <c r="P501" i="2"/>
  <c r="Q501" i="2" s="1"/>
  <c r="U500" i="2"/>
  <c r="T500" i="2"/>
  <c r="S500" i="2" a="1"/>
  <c r="S500" i="2" s="1"/>
  <c r="R500" i="2"/>
  <c r="P500" i="2"/>
  <c r="Q500" i="2" s="1"/>
  <c r="U499" i="2"/>
  <c r="T499" i="2"/>
  <c r="S499" i="2" a="1"/>
  <c r="S499" i="2" s="1"/>
  <c r="R499" i="2"/>
  <c r="P499" i="2"/>
  <c r="Q499" i="2" s="1"/>
  <c r="U498" i="2"/>
  <c r="T498" i="2"/>
  <c r="S498" i="2" a="1"/>
  <c r="S498" i="2" s="1"/>
  <c r="R498" i="2"/>
  <c r="P498" i="2"/>
  <c r="Q498" i="2" s="1"/>
  <c r="U497" i="2"/>
  <c r="T497" i="2"/>
  <c r="S497" i="2" a="1"/>
  <c r="S497" i="2" s="1"/>
  <c r="R497" i="2"/>
  <c r="P497" i="2"/>
  <c r="Q497" i="2" s="1"/>
  <c r="U496" i="2"/>
  <c r="T496" i="2"/>
  <c r="S496" i="2" a="1"/>
  <c r="S496" i="2" s="1"/>
  <c r="R496" i="2"/>
  <c r="P496" i="2"/>
  <c r="Q496" i="2" s="1"/>
  <c r="U495" i="2"/>
  <c r="T495" i="2"/>
  <c r="S495" i="2" a="1"/>
  <c r="S495" i="2" s="1"/>
  <c r="R495" i="2"/>
  <c r="P495" i="2"/>
  <c r="Q495" i="2" s="1"/>
  <c r="U494" i="2"/>
  <c r="T494" i="2"/>
  <c r="S494" i="2" a="1"/>
  <c r="S494" i="2" s="1"/>
  <c r="R494" i="2"/>
  <c r="P494" i="2"/>
  <c r="Q494" i="2" s="1"/>
  <c r="U493" i="2"/>
  <c r="T493" i="2"/>
  <c r="S493" i="2" a="1"/>
  <c r="S493" i="2" s="1"/>
  <c r="R493" i="2"/>
  <c r="P493" i="2"/>
  <c r="Q493" i="2" s="1"/>
  <c r="U492" i="2"/>
  <c r="T492" i="2"/>
  <c r="S492" i="2" a="1"/>
  <c r="S492" i="2" s="1"/>
  <c r="R492" i="2"/>
  <c r="P492" i="2"/>
  <c r="Q492" i="2" s="1"/>
  <c r="U491" i="2"/>
  <c r="T491" i="2"/>
  <c r="S491" i="2" a="1"/>
  <c r="S491" i="2" s="1"/>
  <c r="R491" i="2"/>
  <c r="P491" i="2"/>
  <c r="Q491" i="2" s="1"/>
  <c r="U490" i="2"/>
  <c r="T490" i="2"/>
  <c r="S490" i="2" a="1"/>
  <c r="S490" i="2" s="1"/>
  <c r="R490" i="2"/>
  <c r="P490" i="2"/>
  <c r="Q490" i="2" s="1"/>
  <c r="U489" i="2"/>
  <c r="T489" i="2"/>
  <c r="S489" i="2" a="1"/>
  <c r="S489" i="2" s="1"/>
  <c r="R489" i="2"/>
  <c r="P489" i="2"/>
  <c r="Q489" i="2" s="1"/>
  <c r="U488" i="2"/>
  <c r="T488" i="2"/>
  <c r="S488" i="2" a="1"/>
  <c r="S488" i="2" s="1"/>
  <c r="R488" i="2"/>
  <c r="P488" i="2"/>
  <c r="Q488" i="2" s="1"/>
  <c r="U487" i="2"/>
  <c r="T487" i="2"/>
  <c r="S487" i="2" a="1"/>
  <c r="S487" i="2" s="1"/>
  <c r="R487" i="2"/>
  <c r="P487" i="2"/>
  <c r="Q487" i="2" s="1"/>
  <c r="U486" i="2"/>
  <c r="T486" i="2"/>
  <c r="S486" i="2" a="1"/>
  <c r="S486" i="2" s="1"/>
  <c r="R486" i="2"/>
  <c r="P486" i="2"/>
  <c r="Q486" i="2" s="1"/>
  <c r="U485" i="2"/>
  <c r="T485" i="2"/>
  <c r="S485" i="2" a="1"/>
  <c r="S485" i="2" s="1"/>
  <c r="R485" i="2"/>
  <c r="P485" i="2"/>
  <c r="Q485" i="2" s="1"/>
  <c r="U484" i="2"/>
  <c r="T484" i="2"/>
  <c r="S484" i="2" a="1"/>
  <c r="S484" i="2" s="1"/>
  <c r="R484" i="2"/>
  <c r="P484" i="2"/>
  <c r="Q484" i="2" s="1"/>
  <c r="U483" i="2"/>
  <c r="T483" i="2"/>
  <c r="S483" i="2" a="1"/>
  <c r="S483" i="2" s="1"/>
  <c r="R483" i="2"/>
  <c r="P483" i="2"/>
  <c r="Q483" i="2" s="1"/>
  <c r="U482" i="2"/>
  <c r="T482" i="2"/>
  <c r="S482" i="2" a="1"/>
  <c r="S482" i="2" s="1"/>
  <c r="R482" i="2"/>
  <c r="P482" i="2"/>
  <c r="Q482" i="2" s="1"/>
  <c r="U481" i="2"/>
  <c r="T481" i="2"/>
  <c r="S481" i="2" a="1"/>
  <c r="S481" i="2" s="1"/>
  <c r="R481" i="2"/>
  <c r="Q481" i="2"/>
  <c r="P481" i="2"/>
  <c r="U480" i="2"/>
  <c r="T480" i="2"/>
  <c r="S480" i="2" a="1"/>
  <c r="S480" i="2" s="1"/>
  <c r="R480" i="2"/>
  <c r="P480" i="2"/>
  <c r="Q480" i="2" s="1"/>
  <c r="U479" i="2"/>
  <c r="T479" i="2"/>
  <c r="S479" i="2" a="1"/>
  <c r="S479" i="2" s="1"/>
  <c r="R479" i="2"/>
  <c r="P479" i="2"/>
  <c r="Q479" i="2" s="1"/>
  <c r="U478" i="2"/>
  <c r="T478" i="2"/>
  <c r="S478" i="2" a="1"/>
  <c r="S478" i="2" s="1"/>
  <c r="R478" i="2"/>
  <c r="Q478" i="2"/>
  <c r="P478" i="2"/>
  <c r="U477" i="2"/>
  <c r="T477" i="2"/>
  <c r="S477" i="2" a="1"/>
  <c r="S477" i="2" s="1"/>
  <c r="R477" i="2"/>
  <c r="P477" i="2"/>
  <c r="Q477" i="2" s="1"/>
  <c r="U476" i="2"/>
  <c r="T476" i="2"/>
  <c r="S476" i="2" a="1"/>
  <c r="S476" i="2" s="1"/>
  <c r="R476" i="2"/>
  <c r="P476" i="2"/>
  <c r="Q476" i="2" s="1"/>
  <c r="U475" i="2"/>
  <c r="T475" i="2"/>
  <c r="S475" i="2" a="1"/>
  <c r="S475" i="2" s="1"/>
  <c r="R475" i="2"/>
  <c r="P475" i="2"/>
  <c r="Q475" i="2" s="1"/>
  <c r="U474" i="2"/>
  <c r="T474" i="2"/>
  <c r="S474" i="2" a="1"/>
  <c r="S474" i="2" s="1"/>
  <c r="R474" i="2"/>
  <c r="P474" i="2"/>
  <c r="Q474" i="2" s="1"/>
  <c r="U473" i="2"/>
  <c r="T473" i="2"/>
  <c r="S473" i="2" a="1"/>
  <c r="S473" i="2" s="1"/>
  <c r="R473" i="2"/>
  <c r="P473" i="2"/>
  <c r="Q473" i="2" s="1"/>
  <c r="U472" i="2"/>
  <c r="T472" i="2"/>
  <c r="S472" i="2" a="1"/>
  <c r="S472" i="2" s="1"/>
  <c r="R472" i="2"/>
  <c r="P472" i="2"/>
  <c r="Q472" i="2" s="1"/>
  <c r="U471" i="2"/>
  <c r="T471" i="2"/>
  <c r="S471" i="2" a="1"/>
  <c r="S471" i="2" s="1"/>
  <c r="R471" i="2"/>
  <c r="P471" i="2"/>
  <c r="Q471" i="2" s="1"/>
  <c r="U470" i="2"/>
  <c r="T470" i="2"/>
  <c r="S470" i="2" a="1"/>
  <c r="S470" i="2" s="1"/>
  <c r="R470" i="2"/>
  <c r="P470" i="2"/>
  <c r="Q470" i="2" s="1"/>
  <c r="U469" i="2"/>
  <c r="T469" i="2"/>
  <c r="S469" i="2" a="1"/>
  <c r="S469" i="2" s="1"/>
  <c r="R469" i="2"/>
  <c r="P469" i="2"/>
  <c r="Q469" i="2" s="1"/>
  <c r="U468" i="2"/>
  <c r="T468" i="2"/>
  <c r="S468" i="2" a="1"/>
  <c r="S468" i="2" s="1"/>
  <c r="R468" i="2"/>
  <c r="P468" i="2"/>
  <c r="Q468" i="2" s="1"/>
  <c r="U467" i="2"/>
  <c r="T467" i="2"/>
  <c r="S467" i="2" a="1"/>
  <c r="S467" i="2" s="1"/>
  <c r="R467" i="2"/>
  <c r="P467" i="2"/>
  <c r="Q467" i="2" s="1"/>
  <c r="U466" i="2"/>
  <c r="T466" i="2"/>
  <c r="S466" i="2" a="1"/>
  <c r="S466" i="2" s="1"/>
  <c r="R466" i="2"/>
  <c r="P466" i="2"/>
  <c r="Q466" i="2" s="1"/>
  <c r="U465" i="2"/>
  <c r="T465" i="2"/>
  <c r="S465" i="2" a="1"/>
  <c r="S465" i="2" s="1"/>
  <c r="R465" i="2"/>
  <c r="P465" i="2"/>
  <c r="Q465" i="2" s="1"/>
  <c r="U464" i="2"/>
  <c r="T464" i="2"/>
  <c r="S464" i="2" a="1"/>
  <c r="S464" i="2" s="1"/>
  <c r="R464" i="2"/>
  <c r="P464" i="2"/>
  <c r="Q464" i="2" s="1"/>
  <c r="U463" i="2"/>
  <c r="T463" i="2"/>
  <c r="S463" i="2" a="1"/>
  <c r="S463" i="2" s="1"/>
  <c r="R463" i="2"/>
  <c r="P463" i="2"/>
  <c r="Q463" i="2" s="1"/>
  <c r="U462" i="2"/>
  <c r="T462" i="2"/>
  <c r="S462" i="2" a="1"/>
  <c r="S462" i="2" s="1"/>
  <c r="R462" i="2"/>
  <c r="P462" i="2"/>
  <c r="Q462" i="2" s="1"/>
  <c r="U461" i="2"/>
  <c r="T461" i="2"/>
  <c r="S461" i="2" a="1"/>
  <c r="S461" i="2" s="1"/>
  <c r="R461" i="2"/>
  <c r="P461" i="2"/>
  <c r="Q461" i="2" s="1"/>
  <c r="U460" i="2"/>
  <c r="T460" i="2"/>
  <c r="S460" i="2" a="1"/>
  <c r="S460" i="2" s="1"/>
  <c r="R460" i="2"/>
  <c r="P460" i="2"/>
  <c r="Q460" i="2" s="1"/>
  <c r="U459" i="2"/>
  <c r="T459" i="2"/>
  <c r="S459" i="2" a="1"/>
  <c r="S459" i="2" s="1"/>
  <c r="R459" i="2"/>
  <c r="P459" i="2"/>
  <c r="Q459" i="2" s="1"/>
  <c r="U458" i="2"/>
  <c r="T458" i="2"/>
  <c r="S458" i="2" a="1"/>
  <c r="S458" i="2" s="1"/>
  <c r="R458" i="2"/>
  <c r="P458" i="2"/>
  <c r="Q458" i="2" s="1"/>
  <c r="U457" i="2"/>
  <c r="T457" i="2"/>
  <c r="S457" i="2" a="1"/>
  <c r="S457" i="2" s="1"/>
  <c r="R457" i="2"/>
  <c r="P457" i="2"/>
  <c r="Q457" i="2" s="1"/>
  <c r="U456" i="2"/>
  <c r="T456" i="2"/>
  <c r="S456" i="2" a="1"/>
  <c r="S456" i="2" s="1"/>
  <c r="R456" i="2"/>
  <c r="P456" i="2"/>
  <c r="Q456" i="2" s="1"/>
  <c r="U455" i="2"/>
  <c r="T455" i="2"/>
  <c r="S455" i="2" a="1"/>
  <c r="S455" i="2" s="1"/>
  <c r="R455" i="2"/>
  <c r="P455" i="2"/>
  <c r="Q455" i="2" s="1"/>
  <c r="U454" i="2"/>
  <c r="T454" i="2"/>
  <c r="S454" i="2" a="1"/>
  <c r="S454" i="2" s="1"/>
  <c r="R454" i="2"/>
  <c r="P454" i="2"/>
  <c r="Q454" i="2" s="1"/>
  <c r="U453" i="2"/>
  <c r="T453" i="2"/>
  <c r="S453" i="2" a="1"/>
  <c r="S453" i="2" s="1"/>
  <c r="R453" i="2"/>
  <c r="P453" i="2"/>
  <c r="Q453" i="2" s="1"/>
  <c r="U452" i="2"/>
  <c r="T452" i="2"/>
  <c r="S452" i="2" a="1"/>
  <c r="S452" i="2" s="1"/>
  <c r="R452" i="2"/>
  <c r="P452" i="2"/>
  <c r="Q452" i="2" s="1"/>
  <c r="U451" i="2"/>
  <c r="T451" i="2"/>
  <c r="S451" i="2" a="1"/>
  <c r="S451" i="2" s="1"/>
  <c r="R451" i="2"/>
  <c r="P451" i="2"/>
  <c r="Q451" i="2" s="1"/>
  <c r="U450" i="2"/>
  <c r="T450" i="2"/>
  <c r="S450" i="2" a="1"/>
  <c r="S450" i="2" s="1"/>
  <c r="R450" i="2"/>
  <c r="P450" i="2"/>
  <c r="Q450" i="2" s="1"/>
  <c r="U449" i="2"/>
  <c r="T449" i="2"/>
  <c r="S449" i="2" a="1"/>
  <c r="S449" i="2" s="1"/>
  <c r="R449" i="2"/>
  <c r="P449" i="2"/>
  <c r="Q449" i="2" s="1"/>
  <c r="U448" i="2"/>
  <c r="T448" i="2"/>
  <c r="S448" i="2" a="1"/>
  <c r="S448" i="2" s="1"/>
  <c r="R448" i="2"/>
  <c r="P448" i="2"/>
  <c r="Q448" i="2" s="1"/>
  <c r="U447" i="2"/>
  <c r="T447" i="2"/>
  <c r="S447" i="2" a="1"/>
  <c r="S447" i="2" s="1"/>
  <c r="R447" i="2"/>
  <c r="P447" i="2"/>
  <c r="Q447" i="2" s="1"/>
  <c r="U446" i="2"/>
  <c r="T446" i="2"/>
  <c r="S446" i="2" a="1"/>
  <c r="S446" i="2" s="1"/>
  <c r="R446" i="2"/>
  <c r="P446" i="2"/>
  <c r="Q446" i="2" s="1"/>
  <c r="U445" i="2"/>
  <c r="T445" i="2"/>
  <c r="S445" i="2" a="1"/>
  <c r="S445" i="2" s="1"/>
  <c r="R445" i="2"/>
  <c r="P445" i="2"/>
  <c r="Q445" i="2" s="1"/>
  <c r="U444" i="2"/>
  <c r="T444" i="2"/>
  <c r="S444" i="2" a="1"/>
  <c r="S444" i="2" s="1"/>
  <c r="R444" i="2"/>
  <c r="P444" i="2"/>
  <c r="Q444" i="2" s="1"/>
  <c r="U443" i="2"/>
  <c r="T443" i="2"/>
  <c r="S443" i="2" a="1"/>
  <c r="S443" i="2" s="1"/>
  <c r="R443" i="2"/>
  <c r="P443" i="2"/>
  <c r="Q443" i="2" s="1"/>
  <c r="U442" i="2"/>
  <c r="T442" i="2"/>
  <c r="S442" i="2" a="1"/>
  <c r="S442" i="2" s="1"/>
  <c r="R442" i="2"/>
  <c r="P442" i="2"/>
  <c r="Q442" i="2" s="1"/>
  <c r="U441" i="2"/>
  <c r="T441" i="2"/>
  <c r="S441" i="2" a="1"/>
  <c r="S441" i="2" s="1"/>
  <c r="R441" i="2"/>
  <c r="P441" i="2"/>
  <c r="Q441" i="2" s="1"/>
  <c r="U440" i="2"/>
  <c r="T440" i="2"/>
  <c r="S440" i="2" a="1"/>
  <c r="S440" i="2" s="1"/>
  <c r="R440" i="2"/>
  <c r="P440" i="2"/>
  <c r="Q440" i="2" s="1"/>
  <c r="U439" i="2"/>
  <c r="T439" i="2"/>
  <c r="S439" i="2" a="1"/>
  <c r="S439" i="2" s="1"/>
  <c r="R439" i="2"/>
  <c r="P439" i="2"/>
  <c r="Q439" i="2" s="1"/>
  <c r="U438" i="2"/>
  <c r="T438" i="2"/>
  <c r="S438" i="2" a="1"/>
  <c r="S438" i="2" s="1"/>
  <c r="R438" i="2"/>
  <c r="P438" i="2"/>
  <c r="Q438" i="2" s="1"/>
  <c r="U437" i="2"/>
  <c r="T437" i="2"/>
  <c r="S437" i="2" a="1"/>
  <c r="S437" i="2" s="1"/>
  <c r="R437" i="2"/>
  <c r="P437" i="2"/>
  <c r="Q437" i="2" s="1"/>
  <c r="U436" i="2"/>
  <c r="T436" i="2"/>
  <c r="S436" i="2" a="1"/>
  <c r="S436" i="2" s="1"/>
  <c r="R436" i="2"/>
  <c r="P436" i="2"/>
  <c r="Q436" i="2" s="1"/>
  <c r="U435" i="2"/>
  <c r="T435" i="2"/>
  <c r="S435" i="2" a="1"/>
  <c r="S435" i="2" s="1"/>
  <c r="R435" i="2"/>
  <c r="P435" i="2"/>
  <c r="Q435" i="2" s="1"/>
  <c r="U434" i="2"/>
  <c r="T434" i="2"/>
  <c r="S434" i="2" a="1"/>
  <c r="S434" i="2" s="1"/>
  <c r="R434" i="2"/>
  <c r="P434" i="2"/>
  <c r="Q434" i="2" s="1"/>
  <c r="U433" i="2"/>
  <c r="T433" i="2"/>
  <c r="S433" i="2" a="1"/>
  <c r="S433" i="2" s="1"/>
  <c r="R433" i="2"/>
  <c r="P433" i="2"/>
  <c r="Q433" i="2" s="1"/>
  <c r="U432" i="2"/>
  <c r="T432" i="2"/>
  <c r="S432" i="2" a="1"/>
  <c r="S432" i="2" s="1"/>
  <c r="R432" i="2"/>
  <c r="P432" i="2"/>
  <c r="Q432" i="2" s="1"/>
  <c r="U431" i="2"/>
  <c r="T431" i="2"/>
  <c r="S431" i="2" a="1"/>
  <c r="S431" i="2" s="1"/>
  <c r="R431" i="2"/>
  <c r="P431" i="2"/>
  <c r="Q431" i="2" s="1"/>
  <c r="U430" i="2"/>
  <c r="T430" i="2"/>
  <c r="S430" i="2" a="1"/>
  <c r="S430" i="2" s="1"/>
  <c r="R430" i="2"/>
  <c r="P430" i="2"/>
  <c r="Q430" i="2" s="1"/>
  <c r="U429" i="2"/>
  <c r="T429" i="2"/>
  <c r="S429" i="2"/>
  <c r="S429" i="2" a="1"/>
  <c r="R429" i="2"/>
  <c r="P429" i="2"/>
  <c r="Q429" i="2" s="1"/>
  <c r="U428" i="2"/>
  <c r="T428" i="2"/>
  <c r="S428" i="2" a="1"/>
  <c r="S428" i="2" s="1"/>
  <c r="R428" i="2"/>
  <c r="P428" i="2"/>
  <c r="Q428" i="2" s="1"/>
  <c r="U427" i="2"/>
  <c r="T427" i="2"/>
  <c r="S427" i="2" a="1"/>
  <c r="S427" i="2" s="1"/>
  <c r="R427" i="2"/>
  <c r="P427" i="2"/>
  <c r="Q427" i="2" s="1"/>
  <c r="U426" i="2"/>
  <c r="T426" i="2"/>
  <c r="S426" i="2" a="1"/>
  <c r="S426" i="2" s="1"/>
  <c r="R426" i="2"/>
  <c r="P426" i="2"/>
  <c r="Q426" i="2" s="1"/>
  <c r="U425" i="2"/>
  <c r="T425" i="2"/>
  <c r="S425" i="2" a="1"/>
  <c r="S425" i="2" s="1"/>
  <c r="R425" i="2"/>
  <c r="P425" i="2"/>
  <c r="Q425" i="2" s="1"/>
  <c r="U424" i="2"/>
  <c r="T424" i="2"/>
  <c r="S424" i="2" a="1"/>
  <c r="S424" i="2" s="1"/>
  <c r="R424" i="2"/>
  <c r="P424" i="2"/>
  <c r="Q424" i="2" s="1"/>
  <c r="U423" i="2"/>
  <c r="T423" i="2"/>
  <c r="S423" i="2" a="1"/>
  <c r="S423" i="2" s="1"/>
  <c r="R423" i="2"/>
  <c r="P423" i="2"/>
  <c r="Q423" i="2" s="1"/>
  <c r="U422" i="2"/>
  <c r="T422" i="2"/>
  <c r="S422" i="2" a="1"/>
  <c r="S422" i="2" s="1"/>
  <c r="R422" i="2"/>
  <c r="P422" i="2"/>
  <c r="Q422" i="2" s="1"/>
  <c r="U421" i="2"/>
  <c r="T421" i="2"/>
  <c r="S421" i="2" a="1"/>
  <c r="S421" i="2" s="1"/>
  <c r="R421" i="2"/>
  <c r="P421" i="2"/>
  <c r="Q421" i="2" s="1"/>
  <c r="U420" i="2"/>
  <c r="T420" i="2"/>
  <c r="S420" i="2" a="1"/>
  <c r="S420" i="2" s="1"/>
  <c r="R420" i="2"/>
  <c r="P420" i="2"/>
  <c r="Q420" i="2" s="1"/>
  <c r="U419" i="2"/>
  <c r="T419" i="2"/>
  <c r="S419" i="2" a="1"/>
  <c r="S419" i="2" s="1"/>
  <c r="R419" i="2"/>
  <c r="P419" i="2"/>
  <c r="Q419" i="2" s="1"/>
  <c r="U418" i="2"/>
  <c r="T418" i="2"/>
  <c r="S418" i="2" a="1"/>
  <c r="S418" i="2" s="1"/>
  <c r="R418" i="2"/>
  <c r="P418" i="2"/>
  <c r="Q418" i="2" s="1"/>
  <c r="U417" i="2"/>
  <c r="T417" i="2"/>
  <c r="S417" i="2" a="1"/>
  <c r="S417" i="2" s="1"/>
  <c r="R417" i="2"/>
  <c r="Q417" i="2"/>
  <c r="P417" i="2"/>
  <c r="U416" i="2"/>
  <c r="T416" i="2"/>
  <c r="S416" i="2" a="1"/>
  <c r="S416" i="2" s="1"/>
  <c r="R416" i="2"/>
  <c r="P416" i="2"/>
  <c r="Q416" i="2" s="1"/>
  <c r="U415" i="2"/>
  <c r="T415" i="2"/>
  <c r="S415" i="2" a="1"/>
  <c r="S415" i="2" s="1"/>
  <c r="R415" i="2"/>
  <c r="P415" i="2"/>
  <c r="Q415" i="2" s="1"/>
  <c r="U414" i="2"/>
  <c r="T414" i="2"/>
  <c r="S414" i="2" a="1"/>
  <c r="S414" i="2" s="1"/>
  <c r="R414" i="2"/>
  <c r="Q414" i="2"/>
  <c r="P414" i="2"/>
  <c r="U413" i="2"/>
  <c r="T413" i="2"/>
  <c r="S413" i="2" a="1"/>
  <c r="S413" i="2" s="1"/>
  <c r="R413" i="2"/>
  <c r="P413" i="2"/>
  <c r="Q413" i="2" s="1"/>
  <c r="U412" i="2"/>
  <c r="T412" i="2"/>
  <c r="S412" i="2" a="1"/>
  <c r="S412" i="2" s="1"/>
  <c r="R412" i="2"/>
  <c r="P412" i="2"/>
  <c r="Q412" i="2" s="1"/>
  <c r="U411" i="2"/>
  <c r="T411" i="2"/>
  <c r="S411" i="2" a="1"/>
  <c r="S411" i="2" s="1"/>
  <c r="R411" i="2"/>
  <c r="P411" i="2"/>
  <c r="Q411" i="2" s="1"/>
  <c r="U410" i="2"/>
  <c r="T410" i="2"/>
  <c r="S410" i="2" a="1"/>
  <c r="S410" i="2" s="1"/>
  <c r="R410" i="2"/>
  <c r="P410" i="2"/>
  <c r="Q410" i="2" s="1"/>
  <c r="U409" i="2"/>
  <c r="T409" i="2"/>
  <c r="S409" i="2" a="1"/>
  <c r="S409" i="2" s="1"/>
  <c r="R409" i="2"/>
  <c r="P409" i="2"/>
  <c r="Q409" i="2" s="1"/>
  <c r="U408" i="2"/>
  <c r="T408" i="2"/>
  <c r="S408" i="2" a="1"/>
  <c r="S408" i="2" s="1"/>
  <c r="R408" i="2"/>
  <c r="P408" i="2"/>
  <c r="Q408" i="2" s="1"/>
  <c r="U407" i="2"/>
  <c r="T407" i="2"/>
  <c r="S407" i="2" a="1"/>
  <c r="S407" i="2" s="1"/>
  <c r="R407" i="2"/>
  <c r="P407" i="2"/>
  <c r="Q407" i="2" s="1"/>
  <c r="U406" i="2"/>
  <c r="T406" i="2"/>
  <c r="S406" i="2" a="1"/>
  <c r="S406" i="2" s="1"/>
  <c r="R406" i="2"/>
  <c r="P406" i="2"/>
  <c r="Q406" i="2" s="1"/>
  <c r="U405" i="2"/>
  <c r="T405" i="2"/>
  <c r="S405" i="2" a="1"/>
  <c r="S405" i="2" s="1"/>
  <c r="R405" i="2"/>
  <c r="P405" i="2"/>
  <c r="Q405" i="2" s="1"/>
  <c r="U404" i="2"/>
  <c r="T404" i="2"/>
  <c r="S404" i="2"/>
  <c r="S404" i="2" a="1"/>
  <c r="R404" i="2"/>
  <c r="P404" i="2"/>
  <c r="Q404" i="2" s="1"/>
  <c r="U403" i="2"/>
  <c r="T403" i="2"/>
  <c r="S403" i="2" a="1"/>
  <c r="S403" i="2" s="1"/>
  <c r="R403" i="2"/>
  <c r="P403" i="2"/>
  <c r="Q403" i="2" s="1"/>
  <c r="U402" i="2"/>
  <c r="T402" i="2"/>
  <c r="S402" i="2" a="1"/>
  <c r="S402" i="2" s="1"/>
  <c r="R402" i="2"/>
  <c r="P402" i="2"/>
  <c r="Q402" i="2" s="1"/>
  <c r="U401" i="2"/>
  <c r="T401" i="2"/>
  <c r="S401" i="2"/>
  <c r="S401" i="2" a="1"/>
  <c r="R401" i="2"/>
  <c r="P401" i="2"/>
  <c r="Q401" i="2" s="1"/>
  <c r="U400" i="2"/>
  <c r="T400" i="2"/>
  <c r="S400" i="2" a="1"/>
  <c r="S400" i="2" s="1"/>
  <c r="R400" i="2"/>
  <c r="P400" i="2"/>
  <c r="Q400" i="2" s="1"/>
  <c r="U399" i="2"/>
  <c r="T399" i="2"/>
  <c r="S399" i="2" a="1"/>
  <c r="S399" i="2" s="1"/>
  <c r="R399" i="2"/>
  <c r="P399" i="2"/>
  <c r="Q399" i="2" s="1"/>
  <c r="U398" i="2"/>
  <c r="T398" i="2"/>
  <c r="S398" i="2" a="1"/>
  <c r="S398" i="2" s="1"/>
  <c r="R398" i="2"/>
  <c r="P398" i="2"/>
  <c r="Q398" i="2" s="1"/>
  <c r="U397" i="2"/>
  <c r="T397" i="2"/>
  <c r="S397" i="2" a="1"/>
  <c r="S397" i="2" s="1"/>
  <c r="R397" i="2"/>
  <c r="P397" i="2"/>
  <c r="Q397" i="2" s="1"/>
  <c r="U396" i="2"/>
  <c r="T396" i="2"/>
  <c r="S396" i="2" a="1"/>
  <c r="S396" i="2" s="1"/>
  <c r="R396" i="2"/>
  <c r="P396" i="2"/>
  <c r="Q396" i="2" s="1"/>
  <c r="U395" i="2"/>
  <c r="T395" i="2"/>
  <c r="S395" i="2" a="1"/>
  <c r="S395" i="2" s="1"/>
  <c r="R395" i="2"/>
  <c r="P395" i="2"/>
  <c r="Q395" i="2" s="1"/>
  <c r="U394" i="2"/>
  <c r="T394" i="2"/>
  <c r="S394" i="2" a="1"/>
  <c r="S394" i="2" s="1"/>
  <c r="R394" i="2"/>
  <c r="P394" i="2"/>
  <c r="Q394" i="2" s="1"/>
  <c r="U393" i="2"/>
  <c r="T393" i="2"/>
  <c r="S393" i="2" a="1"/>
  <c r="S393" i="2" s="1"/>
  <c r="R393" i="2"/>
  <c r="Q393" i="2"/>
  <c r="P393" i="2"/>
  <c r="U392" i="2"/>
  <c r="T392" i="2"/>
  <c r="S392" i="2" a="1"/>
  <c r="S392" i="2" s="1"/>
  <c r="R392" i="2"/>
  <c r="P392" i="2"/>
  <c r="Q392" i="2" s="1"/>
  <c r="U391" i="2"/>
  <c r="T391" i="2"/>
  <c r="S391" i="2" a="1"/>
  <c r="S391" i="2" s="1"/>
  <c r="R391" i="2"/>
  <c r="P391" i="2"/>
  <c r="Q391" i="2" s="1"/>
  <c r="U390" i="2"/>
  <c r="T390" i="2"/>
  <c r="S390" i="2" a="1"/>
  <c r="S390" i="2" s="1"/>
  <c r="R390" i="2"/>
  <c r="P390" i="2"/>
  <c r="Q390" i="2" s="1"/>
  <c r="U389" i="2"/>
  <c r="T389" i="2"/>
  <c r="S389" i="2" a="1"/>
  <c r="S389" i="2" s="1"/>
  <c r="R389" i="2"/>
  <c r="P389" i="2"/>
  <c r="Q389" i="2" s="1"/>
  <c r="U388" i="2"/>
  <c r="T388" i="2"/>
  <c r="S388" i="2" a="1"/>
  <c r="S388" i="2" s="1"/>
  <c r="R388" i="2"/>
  <c r="P388" i="2"/>
  <c r="Q388" i="2" s="1"/>
  <c r="U387" i="2"/>
  <c r="T387" i="2"/>
  <c r="S387" i="2" a="1"/>
  <c r="S387" i="2" s="1"/>
  <c r="R387" i="2"/>
  <c r="P387" i="2"/>
  <c r="Q387" i="2" s="1"/>
  <c r="U386" i="2"/>
  <c r="T386" i="2"/>
  <c r="S386" i="2" a="1"/>
  <c r="S386" i="2" s="1"/>
  <c r="R386" i="2"/>
  <c r="P386" i="2"/>
  <c r="Q386" i="2" s="1"/>
  <c r="U385" i="2"/>
  <c r="T385" i="2"/>
  <c r="S385" i="2" a="1"/>
  <c r="S385" i="2" s="1"/>
  <c r="R385" i="2"/>
  <c r="Q385" i="2"/>
  <c r="P385" i="2"/>
  <c r="U384" i="2"/>
  <c r="T384" i="2"/>
  <c r="S384" i="2" a="1"/>
  <c r="S384" i="2" s="1"/>
  <c r="R384" i="2"/>
  <c r="P384" i="2"/>
  <c r="Q384" i="2" s="1"/>
  <c r="U383" i="2"/>
  <c r="T383" i="2"/>
  <c r="S383" i="2" a="1"/>
  <c r="S383" i="2" s="1"/>
  <c r="R383" i="2"/>
  <c r="P383" i="2"/>
  <c r="Q383" i="2" s="1"/>
  <c r="U382" i="2"/>
  <c r="T382" i="2"/>
  <c r="S382" i="2" a="1"/>
  <c r="S382" i="2" s="1"/>
  <c r="R382" i="2"/>
  <c r="Q382" i="2"/>
  <c r="P382" i="2"/>
  <c r="U381" i="2"/>
  <c r="T381" i="2"/>
  <c r="S381" i="2" a="1"/>
  <c r="S381" i="2" s="1"/>
  <c r="R381" i="2"/>
  <c r="P381" i="2"/>
  <c r="Q381" i="2" s="1"/>
  <c r="U380" i="2"/>
  <c r="T380" i="2"/>
  <c r="S380" i="2" a="1"/>
  <c r="S380" i="2" s="1"/>
  <c r="R380" i="2"/>
  <c r="P380" i="2"/>
  <c r="Q380" i="2" s="1"/>
  <c r="U379" i="2"/>
  <c r="T379" i="2"/>
  <c r="S379" i="2" a="1"/>
  <c r="S379" i="2" s="1"/>
  <c r="R379" i="2"/>
  <c r="P379" i="2"/>
  <c r="Q379" i="2" s="1"/>
  <c r="U378" i="2"/>
  <c r="T378" i="2"/>
  <c r="S378" i="2" a="1"/>
  <c r="S378" i="2" s="1"/>
  <c r="R378" i="2"/>
  <c r="P378" i="2"/>
  <c r="Q378" i="2" s="1"/>
  <c r="U377" i="2"/>
  <c r="T377" i="2"/>
  <c r="S377" i="2" a="1"/>
  <c r="S377" i="2" s="1"/>
  <c r="R377" i="2"/>
  <c r="P377" i="2"/>
  <c r="Q377" i="2" s="1"/>
  <c r="U376" i="2"/>
  <c r="T376" i="2"/>
  <c r="S376" i="2" a="1"/>
  <c r="S376" i="2" s="1"/>
  <c r="R376" i="2"/>
  <c r="P376" i="2"/>
  <c r="Q376" i="2" s="1"/>
  <c r="U375" i="2"/>
  <c r="T375" i="2"/>
  <c r="S375" i="2" a="1"/>
  <c r="S375" i="2" s="1"/>
  <c r="R375" i="2"/>
  <c r="P375" i="2"/>
  <c r="Q375" i="2" s="1"/>
  <c r="U374" i="2"/>
  <c r="T374" i="2"/>
  <c r="S374" i="2" a="1"/>
  <c r="S374" i="2" s="1"/>
  <c r="R374" i="2"/>
  <c r="P374" i="2"/>
  <c r="Q374" i="2" s="1"/>
  <c r="U373" i="2"/>
  <c r="T373" i="2"/>
  <c r="S373" i="2" a="1"/>
  <c r="S373" i="2" s="1"/>
  <c r="R373" i="2"/>
  <c r="P373" i="2"/>
  <c r="Q373" i="2" s="1"/>
  <c r="U372" i="2"/>
  <c r="T372" i="2"/>
  <c r="S372" i="2" a="1"/>
  <c r="S372" i="2" s="1"/>
  <c r="R372" i="2"/>
  <c r="P372" i="2"/>
  <c r="Q372" i="2" s="1"/>
  <c r="U371" i="2"/>
  <c r="T371" i="2"/>
  <c r="S371" i="2" a="1"/>
  <c r="S371" i="2" s="1"/>
  <c r="R371" i="2"/>
  <c r="P371" i="2"/>
  <c r="Q371" i="2" s="1"/>
  <c r="U370" i="2"/>
  <c r="T370" i="2"/>
  <c r="S370" i="2" a="1"/>
  <c r="S370" i="2" s="1"/>
  <c r="R370" i="2"/>
  <c r="P370" i="2"/>
  <c r="Q370" i="2" s="1"/>
  <c r="U369" i="2"/>
  <c r="T369" i="2"/>
  <c r="S369" i="2" a="1"/>
  <c r="S369" i="2" s="1"/>
  <c r="R369" i="2"/>
  <c r="P369" i="2"/>
  <c r="Q369" i="2" s="1"/>
  <c r="U368" i="2"/>
  <c r="T368" i="2"/>
  <c r="S368" i="2" a="1"/>
  <c r="S368" i="2" s="1"/>
  <c r="R368" i="2"/>
  <c r="P368" i="2"/>
  <c r="Q368" i="2" s="1"/>
  <c r="U367" i="2"/>
  <c r="T367" i="2"/>
  <c r="S367" i="2" a="1"/>
  <c r="S367" i="2" s="1"/>
  <c r="R367" i="2"/>
  <c r="P367" i="2"/>
  <c r="Q367" i="2" s="1"/>
  <c r="U366" i="2"/>
  <c r="T366" i="2"/>
  <c r="S366" i="2" a="1"/>
  <c r="S366" i="2" s="1"/>
  <c r="R366" i="2"/>
  <c r="P366" i="2"/>
  <c r="Q366" i="2" s="1"/>
  <c r="U365" i="2"/>
  <c r="T365" i="2"/>
  <c r="S365" i="2" a="1"/>
  <c r="S365" i="2" s="1"/>
  <c r="R365" i="2"/>
  <c r="P365" i="2"/>
  <c r="Q365" i="2" s="1"/>
  <c r="U364" i="2"/>
  <c r="T364" i="2"/>
  <c r="S364" i="2" a="1"/>
  <c r="S364" i="2" s="1"/>
  <c r="R364" i="2"/>
  <c r="P364" i="2"/>
  <c r="Q364" i="2" s="1"/>
  <c r="U363" i="2"/>
  <c r="T363" i="2"/>
  <c r="S363" i="2" a="1"/>
  <c r="S363" i="2" s="1"/>
  <c r="R363" i="2"/>
  <c r="P363" i="2"/>
  <c r="Q363" i="2" s="1"/>
  <c r="U362" i="2"/>
  <c r="T362" i="2"/>
  <c r="S362" i="2" a="1"/>
  <c r="S362" i="2" s="1"/>
  <c r="R362" i="2"/>
  <c r="P362" i="2"/>
  <c r="Q362" i="2" s="1"/>
  <c r="U361" i="2"/>
  <c r="T361" i="2"/>
  <c r="S361" i="2" a="1"/>
  <c r="S361" i="2" s="1"/>
  <c r="R361" i="2"/>
  <c r="P361" i="2"/>
  <c r="Q361" i="2" s="1"/>
  <c r="U360" i="2"/>
  <c r="T360" i="2"/>
  <c r="S360" i="2" a="1"/>
  <c r="S360" i="2" s="1"/>
  <c r="R360" i="2"/>
  <c r="P360" i="2"/>
  <c r="Q360" i="2" s="1"/>
  <c r="U359" i="2"/>
  <c r="T359" i="2"/>
  <c r="S359" i="2" a="1"/>
  <c r="S359" i="2" s="1"/>
  <c r="R359" i="2"/>
  <c r="P359" i="2"/>
  <c r="Q359" i="2" s="1"/>
  <c r="U358" i="2"/>
  <c r="T358" i="2"/>
  <c r="S358" i="2" a="1"/>
  <c r="S358" i="2" s="1"/>
  <c r="R358" i="2"/>
  <c r="P358" i="2"/>
  <c r="Q358" i="2" s="1"/>
  <c r="U357" i="2"/>
  <c r="T357" i="2"/>
  <c r="S357" i="2" a="1"/>
  <c r="S357" i="2" s="1"/>
  <c r="R357" i="2"/>
  <c r="P357" i="2"/>
  <c r="Q357" i="2" s="1"/>
  <c r="U356" i="2"/>
  <c r="T356" i="2"/>
  <c r="S356" i="2" a="1"/>
  <c r="S356" i="2" s="1"/>
  <c r="R356" i="2"/>
  <c r="P356" i="2"/>
  <c r="Q356" i="2" s="1"/>
  <c r="U355" i="2"/>
  <c r="T355" i="2"/>
  <c r="S355" i="2" a="1"/>
  <c r="S355" i="2" s="1"/>
  <c r="R355" i="2"/>
  <c r="P355" i="2"/>
  <c r="Q355" i="2" s="1"/>
  <c r="U354" i="2"/>
  <c r="T354" i="2"/>
  <c r="S354" i="2" a="1"/>
  <c r="S354" i="2" s="1"/>
  <c r="R354" i="2"/>
  <c r="P354" i="2"/>
  <c r="Q354" i="2" s="1"/>
  <c r="U353" i="2"/>
  <c r="T353" i="2"/>
  <c r="S353" i="2" a="1"/>
  <c r="S353" i="2" s="1"/>
  <c r="R353" i="2"/>
  <c r="Q353" i="2"/>
  <c r="P353" i="2"/>
  <c r="U352" i="2"/>
  <c r="T352" i="2"/>
  <c r="S352" i="2" a="1"/>
  <c r="S352" i="2" s="1"/>
  <c r="R352" i="2"/>
  <c r="P352" i="2"/>
  <c r="Q352" i="2" s="1"/>
  <c r="U351" i="2"/>
  <c r="T351" i="2"/>
  <c r="S351" i="2" a="1"/>
  <c r="S351" i="2" s="1"/>
  <c r="R351" i="2"/>
  <c r="P351" i="2"/>
  <c r="Q351" i="2" s="1"/>
  <c r="U350" i="2"/>
  <c r="T350" i="2"/>
  <c r="S350" i="2" a="1"/>
  <c r="S350" i="2" s="1"/>
  <c r="R350" i="2"/>
  <c r="Q350" i="2"/>
  <c r="P350" i="2"/>
  <c r="U349" i="2"/>
  <c r="T349" i="2"/>
  <c r="S349" i="2" a="1"/>
  <c r="S349" i="2" s="1"/>
  <c r="R349" i="2"/>
  <c r="P349" i="2"/>
  <c r="Q349" i="2" s="1"/>
  <c r="U348" i="2"/>
  <c r="T348" i="2"/>
  <c r="S348" i="2" a="1"/>
  <c r="S348" i="2" s="1"/>
  <c r="R348" i="2"/>
  <c r="P348" i="2"/>
  <c r="Q348" i="2" s="1"/>
  <c r="U347" i="2"/>
  <c r="T347" i="2"/>
  <c r="S347" i="2" a="1"/>
  <c r="S347" i="2" s="1"/>
  <c r="R347" i="2"/>
  <c r="P347" i="2"/>
  <c r="Q347" i="2" s="1"/>
  <c r="U346" i="2"/>
  <c r="T346" i="2"/>
  <c r="S346" i="2" a="1"/>
  <c r="S346" i="2" s="1"/>
  <c r="R346" i="2"/>
  <c r="P346" i="2"/>
  <c r="Q346" i="2" s="1"/>
  <c r="U345" i="2"/>
  <c r="T345" i="2"/>
  <c r="S345" i="2" a="1"/>
  <c r="S345" i="2" s="1"/>
  <c r="R345" i="2"/>
  <c r="P345" i="2"/>
  <c r="Q345" i="2" s="1"/>
  <c r="U344" i="2"/>
  <c r="T344" i="2"/>
  <c r="S344" i="2" a="1"/>
  <c r="S344" i="2" s="1"/>
  <c r="R344" i="2"/>
  <c r="P344" i="2"/>
  <c r="Q344" i="2" s="1"/>
  <c r="U343" i="2"/>
  <c r="T343" i="2"/>
  <c r="S343" i="2" a="1"/>
  <c r="S343" i="2" s="1"/>
  <c r="R343" i="2"/>
  <c r="P343" i="2"/>
  <c r="Q343" i="2" s="1"/>
  <c r="U342" i="2"/>
  <c r="T342" i="2"/>
  <c r="S342" i="2" a="1"/>
  <c r="S342" i="2" s="1"/>
  <c r="R342" i="2"/>
  <c r="P342" i="2"/>
  <c r="Q342" i="2" s="1"/>
  <c r="U341" i="2"/>
  <c r="T341" i="2"/>
  <c r="S341" i="2" a="1"/>
  <c r="S341" i="2" s="1"/>
  <c r="R341" i="2"/>
  <c r="P341" i="2"/>
  <c r="Q341" i="2" s="1"/>
  <c r="U340" i="2"/>
  <c r="T340" i="2"/>
  <c r="S340" i="2" a="1"/>
  <c r="S340" i="2" s="1"/>
  <c r="R340" i="2"/>
  <c r="P340" i="2"/>
  <c r="Q340" i="2" s="1"/>
  <c r="U339" i="2"/>
  <c r="T339" i="2"/>
  <c r="S339" i="2" a="1"/>
  <c r="S339" i="2" s="1"/>
  <c r="R339" i="2"/>
  <c r="P339" i="2"/>
  <c r="Q339" i="2" s="1"/>
  <c r="U338" i="2"/>
  <c r="T338" i="2"/>
  <c r="S338" i="2" a="1"/>
  <c r="S338" i="2" s="1"/>
  <c r="R338" i="2"/>
  <c r="P338" i="2"/>
  <c r="Q338" i="2" s="1"/>
  <c r="U337" i="2"/>
  <c r="T337" i="2"/>
  <c r="S337" i="2" a="1"/>
  <c r="S337" i="2" s="1"/>
  <c r="R337" i="2"/>
  <c r="P337" i="2"/>
  <c r="Q337" i="2" s="1"/>
  <c r="U336" i="2"/>
  <c r="T336" i="2"/>
  <c r="S336" i="2" a="1"/>
  <c r="S336" i="2" s="1"/>
  <c r="R336" i="2"/>
  <c r="P336" i="2"/>
  <c r="Q336" i="2" s="1"/>
  <c r="U335" i="2"/>
  <c r="T335" i="2"/>
  <c r="S335" i="2" a="1"/>
  <c r="S335" i="2" s="1"/>
  <c r="R335" i="2"/>
  <c r="P335" i="2"/>
  <c r="Q335" i="2" s="1"/>
  <c r="U334" i="2"/>
  <c r="T334" i="2"/>
  <c r="S334" i="2" a="1"/>
  <c r="S334" i="2" s="1"/>
  <c r="R334" i="2"/>
  <c r="P334" i="2"/>
  <c r="Q334" i="2" s="1"/>
  <c r="U333" i="2"/>
  <c r="T333" i="2"/>
  <c r="S333" i="2" a="1"/>
  <c r="S333" i="2" s="1"/>
  <c r="R333" i="2"/>
  <c r="P333" i="2"/>
  <c r="Q333" i="2" s="1"/>
  <c r="U332" i="2"/>
  <c r="T332" i="2"/>
  <c r="S332" i="2"/>
  <c r="S332" i="2" a="1"/>
  <c r="R332" i="2"/>
  <c r="P332" i="2"/>
  <c r="Q332" i="2" s="1"/>
  <c r="U331" i="2"/>
  <c r="T331" i="2"/>
  <c r="S331" i="2" a="1"/>
  <c r="S331" i="2" s="1"/>
  <c r="R331" i="2"/>
  <c r="P331" i="2"/>
  <c r="Q331" i="2" s="1"/>
  <c r="U330" i="2"/>
  <c r="T330" i="2"/>
  <c r="S330" i="2" a="1"/>
  <c r="S330" i="2" s="1"/>
  <c r="R330" i="2"/>
  <c r="P330" i="2"/>
  <c r="Q330" i="2" s="1"/>
  <c r="U329" i="2"/>
  <c r="T329" i="2"/>
  <c r="S329" i="2"/>
  <c r="S329" i="2" a="1"/>
  <c r="R329" i="2"/>
  <c r="P329" i="2"/>
  <c r="Q329" i="2" s="1"/>
  <c r="U328" i="2"/>
  <c r="T328" i="2"/>
  <c r="S328" i="2" a="1"/>
  <c r="S328" i="2" s="1"/>
  <c r="R328" i="2"/>
  <c r="P328" i="2"/>
  <c r="Q328" i="2" s="1"/>
  <c r="U327" i="2"/>
  <c r="T327" i="2"/>
  <c r="S327" i="2" a="1"/>
  <c r="S327" i="2" s="1"/>
  <c r="R327" i="2"/>
  <c r="P327" i="2"/>
  <c r="Q327" i="2" s="1"/>
  <c r="U326" i="2"/>
  <c r="T326" i="2"/>
  <c r="S326" i="2" a="1"/>
  <c r="S326" i="2" s="1"/>
  <c r="R326" i="2"/>
  <c r="P326" i="2"/>
  <c r="Q326" i="2" s="1"/>
  <c r="U325" i="2"/>
  <c r="T325" i="2"/>
  <c r="S325" i="2"/>
  <c r="S325" i="2" a="1"/>
  <c r="R325" i="2"/>
  <c r="P325" i="2"/>
  <c r="Q325" i="2" s="1"/>
  <c r="U324" i="2"/>
  <c r="T324" i="2"/>
  <c r="S324" i="2" a="1"/>
  <c r="S324" i="2" s="1"/>
  <c r="R324" i="2"/>
  <c r="P324" i="2"/>
  <c r="Q324" i="2" s="1"/>
  <c r="U323" i="2"/>
  <c r="T323" i="2"/>
  <c r="S323" i="2" a="1"/>
  <c r="S323" i="2" s="1"/>
  <c r="R323" i="2"/>
  <c r="P323" i="2"/>
  <c r="Q323" i="2" s="1"/>
  <c r="U322" i="2"/>
  <c r="T322" i="2"/>
  <c r="S322" i="2" a="1"/>
  <c r="S322" i="2" s="1"/>
  <c r="R322" i="2"/>
  <c r="P322" i="2"/>
  <c r="Q322" i="2" s="1"/>
  <c r="U321" i="2"/>
  <c r="T321" i="2"/>
  <c r="S321" i="2"/>
  <c r="S321" i="2" a="1"/>
  <c r="R321" i="2"/>
  <c r="P321" i="2"/>
  <c r="Q321" i="2" s="1"/>
  <c r="U320" i="2"/>
  <c r="T320" i="2"/>
  <c r="S320" i="2" a="1"/>
  <c r="S320" i="2" s="1"/>
  <c r="R320" i="2"/>
  <c r="P320" i="2"/>
  <c r="Q320" i="2" s="1"/>
  <c r="U319" i="2"/>
  <c r="T319" i="2"/>
  <c r="S319" i="2" a="1"/>
  <c r="S319" i="2" s="1"/>
  <c r="R319" i="2"/>
  <c r="P319" i="2"/>
  <c r="Q319" i="2" s="1"/>
  <c r="U318" i="2"/>
  <c r="T318" i="2"/>
  <c r="S318" i="2" a="1"/>
  <c r="S318" i="2" s="1"/>
  <c r="R318" i="2"/>
  <c r="P318" i="2"/>
  <c r="Q318" i="2" s="1"/>
  <c r="U317" i="2"/>
  <c r="T317" i="2"/>
  <c r="S317" i="2" a="1"/>
  <c r="S317" i="2" s="1"/>
  <c r="R317" i="2"/>
  <c r="P317" i="2"/>
  <c r="Q317" i="2" s="1"/>
  <c r="U316" i="2"/>
  <c r="T316" i="2"/>
  <c r="S316" i="2" a="1"/>
  <c r="S316" i="2" s="1"/>
  <c r="R316" i="2"/>
  <c r="P316" i="2"/>
  <c r="Q316" i="2" s="1"/>
  <c r="U315" i="2"/>
  <c r="T315" i="2"/>
  <c r="S315" i="2" a="1"/>
  <c r="S315" i="2" s="1"/>
  <c r="R315" i="2"/>
  <c r="P315" i="2"/>
  <c r="Q315" i="2" s="1"/>
  <c r="U314" i="2"/>
  <c r="T314" i="2"/>
  <c r="S314" i="2" a="1"/>
  <c r="S314" i="2" s="1"/>
  <c r="R314" i="2"/>
  <c r="P314" i="2"/>
  <c r="Q314" i="2" s="1"/>
  <c r="U313" i="2"/>
  <c r="T313" i="2"/>
  <c r="S313" i="2"/>
  <c r="S313" i="2" a="1"/>
  <c r="R313" i="2"/>
  <c r="P313" i="2"/>
  <c r="Q313" i="2" s="1"/>
  <c r="U312" i="2"/>
  <c r="T312" i="2"/>
  <c r="S312" i="2" a="1"/>
  <c r="S312" i="2" s="1"/>
  <c r="R312" i="2"/>
  <c r="P312" i="2"/>
  <c r="Q312" i="2" s="1"/>
  <c r="U311" i="2"/>
  <c r="T311" i="2"/>
  <c r="S311" i="2" a="1"/>
  <c r="S311" i="2" s="1"/>
  <c r="R311" i="2"/>
  <c r="P311" i="2"/>
  <c r="Q311" i="2" s="1"/>
  <c r="U310" i="2"/>
  <c r="T310" i="2"/>
  <c r="S310" i="2"/>
  <c r="S310" i="2" a="1"/>
  <c r="R310" i="2"/>
  <c r="P310" i="2"/>
  <c r="Q310" i="2" s="1"/>
  <c r="U309" i="2"/>
  <c r="T309" i="2"/>
  <c r="S309" i="2" a="1"/>
  <c r="S309" i="2" s="1"/>
  <c r="R309" i="2"/>
  <c r="Q309" i="2"/>
  <c r="P309" i="2"/>
  <c r="U308" i="2"/>
  <c r="T308" i="2"/>
  <c r="S308" i="2" a="1"/>
  <c r="S308" i="2" s="1"/>
  <c r="R308" i="2"/>
  <c r="P308" i="2"/>
  <c r="Q308" i="2" s="1"/>
  <c r="U307" i="2"/>
  <c r="T307" i="2"/>
  <c r="S307" i="2" a="1"/>
  <c r="S307" i="2" s="1"/>
  <c r="R307" i="2"/>
  <c r="P307" i="2"/>
  <c r="Q307" i="2" s="1"/>
  <c r="U306" i="2"/>
  <c r="T306" i="2"/>
  <c r="S306" i="2" a="1"/>
  <c r="S306" i="2" s="1"/>
  <c r="R306" i="2"/>
  <c r="P306" i="2"/>
  <c r="Q306" i="2" s="1"/>
  <c r="U305" i="2"/>
  <c r="T305" i="2"/>
  <c r="S305" i="2" a="1"/>
  <c r="S305" i="2" s="1"/>
  <c r="R305" i="2"/>
  <c r="P305" i="2"/>
  <c r="Q305" i="2" s="1"/>
  <c r="U304" i="2"/>
  <c r="T304" i="2"/>
  <c r="S304" i="2" a="1"/>
  <c r="S304" i="2" s="1"/>
  <c r="R304" i="2"/>
  <c r="P304" i="2"/>
  <c r="Q304" i="2" s="1"/>
  <c r="U303" i="2"/>
  <c r="T303" i="2"/>
  <c r="S303" i="2" a="1"/>
  <c r="S303" i="2" s="1"/>
  <c r="R303" i="2"/>
  <c r="P303" i="2"/>
  <c r="Q303" i="2" s="1"/>
  <c r="U302" i="2"/>
  <c r="T302" i="2"/>
  <c r="S302" i="2" a="1"/>
  <c r="S302" i="2" s="1"/>
  <c r="R302" i="2"/>
  <c r="P302" i="2"/>
  <c r="Q302" i="2" s="1"/>
  <c r="U301" i="2"/>
  <c r="T301" i="2"/>
  <c r="S301" i="2" a="1"/>
  <c r="S301" i="2" s="1"/>
  <c r="R301" i="2"/>
  <c r="P301" i="2"/>
  <c r="Q301" i="2" s="1"/>
  <c r="U300" i="2"/>
  <c r="T300" i="2"/>
  <c r="S300" i="2" a="1"/>
  <c r="S300" i="2" s="1"/>
  <c r="R300" i="2"/>
  <c r="P300" i="2"/>
  <c r="Q300" i="2" s="1"/>
  <c r="U299" i="2"/>
  <c r="T299" i="2"/>
  <c r="S299" i="2" a="1"/>
  <c r="S299" i="2" s="1"/>
  <c r="R299" i="2"/>
  <c r="P299" i="2"/>
  <c r="Q299" i="2" s="1"/>
  <c r="U298" i="2"/>
  <c r="T298" i="2"/>
  <c r="S298" i="2" a="1"/>
  <c r="S298" i="2" s="1"/>
  <c r="R298" i="2"/>
  <c r="P298" i="2"/>
  <c r="Q298" i="2" s="1"/>
  <c r="U297" i="2"/>
  <c r="T297" i="2"/>
  <c r="S297" i="2" a="1"/>
  <c r="S297" i="2" s="1"/>
  <c r="R297" i="2"/>
  <c r="P297" i="2"/>
  <c r="Q297" i="2" s="1"/>
  <c r="U296" i="2"/>
  <c r="T296" i="2"/>
  <c r="S296" i="2" a="1"/>
  <c r="S296" i="2" s="1"/>
  <c r="R296" i="2"/>
  <c r="P296" i="2"/>
  <c r="Q296" i="2" s="1"/>
  <c r="U295" i="2"/>
  <c r="T295" i="2"/>
  <c r="S295" i="2" a="1"/>
  <c r="S295" i="2" s="1"/>
  <c r="R295" i="2"/>
  <c r="P295" i="2"/>
  <c r="Q295" i="2" s="1"/>
  <c r="U294" i="2"/>
  <c r="T294" i="2"/>
  <c r="S294" i="2" a="1"/>
  <c r="S294" i="2" s="1"/>
  <c r="R294" i="2"/>
  <c r="P294" i="2"/>
  <c r="Q294" i="2" s="1"/>
  <c r="U293" i="2"/>
  <c r="T293" i="2"/>
  <c r="S293" i="2" a="1"/>
  <c r="S293" i="2" s="1"/>
  <c r="R293" i="2"/>
  <c r="P293" i="2"/>
  <c r="Q293" i="2" s="1"/>
  <c r="U292" i="2"/>
  <c r="T292" i="2"/>
  <c r="S292" i="2"/>
  <c r="S292" i="2" a="1"/>
  <c r="R292" i="2"/>
  <c r="P292" i="2"/>
  <c r="Q292" i="2" s="1"/>
  <c r="U291" i="2"/>
  <c r="T291" i="2"/>
  <c r="S291" i="2" a="1"/>
  <c r="S291" i="2" s="1"/>
  <c r="R291" i="2"/>
  <c r="Q291" i="2"/>
  <c r="P291" i="2"/>
  <c r="U290" i="2"/>
  <c r="T290" i="2"/>
  <c r="S290" i="2" a="1"/>
  <c r="S290" i="2" s="1"/>
  <c r="R290" i="2"/>
  <c r="P290" i="2"/>
  <c r="Q290" i="2" s="1"/>
  <c r="U289" i="2"/>
  <c r="T289" i="2"/>
  <c r="S289" i="2" a="1"/>
  <c r="S289" i="2" s="1"/>
  <c r="R289" i="2"/>
  <c r="P289" i="2"/>
  <c r="Q289" i="2" s="1"/>
  <c r="U288" i="2"/>
  <c r="T288" i="2"/>
  <c r="S288" i="2" a="1"/>
  <c r="S288" i="2" s="1"/>
  <c r="R288" i="2"/>
  <c r="P288" i="2"/>
  <c r="Q288" i="2" s="1"/>
  <c r="U287" i="2"/>
  <c r="T287" i="2"/>
  <c r="S287" i="2" a="1"/>
  <c r="S287" i="2" s="1"/>
  <c r="R287" i="2"/>
  <c r="P287" i="2"/>
  <c r="Q287" i="2" s="1"/>
  <c r="U286" i="2"/>
  <c r="T286" i="2"/>
  <c r="S286" i="2" a="1"/>
  <c r="S286" i="2" s="1"/>
  <c r="R286" i="2"/>
  <c r="P286" i="2"/>
  <c r="Q286" i="2" s="1"/>
  <c r="U285" i="2"/>
  <c r="T285" i="2"/>
  <c r="S285" i="2" a="1"/>
  <c r="S285" i="2" s="1"/>
  <c r="R285" i="2"/>
  <c r="P285" i="2"/>
  <c r="Q285" i="2" s="1"/>
  <c r="U284" i="2"/>
  <c r="T284" i="2"/>
  <c r="S284" i="2"/>
  <c r="S284" i="2" a="1"/>
  <c r="R284" i="2"/>
  <c r="P284" i="2"/>
  <c r="Q284" i="2" s="1"/>
  <c r="U283" i="2"/>
  <c r="T283" i="2"/>
  <c r="S283" i="2" a="1"/>
  <c r="S283" i="2" s="1"/>
  <c r="R283" i="2"/>
  <c r="Q283" i="2"/>
  <c r="P283" i="2"/>
  <c r="U282" i="2"/>
  <c r="T282" i="2"/>
  <c r="S282" i="2" a="1"/>
  <c r="S282" i="2" s="1"/>
  <c r="R282" i="2"/>
  <c r="P282" i="2"/>
  <c r="Q282" i="2" s="1"/>
  <c r="U281" i="2"/>
  <c r="T281" i="2"/>
  <c r="S281" i="2" a="1"/>
  <c r="S281" i="2" s="1"/>
  <c r="R281" i="2"/>
  <c r="P281" i="2"/>
  <c r="Q281" i="2" s="1"/>
  <c r="U280" i="2"/>
  <c r="T280" i="2"/>
  <c r="S280" i="2" a="1"/>
  <c r="S280" i="2" s="1"/>
  <c r="R280" i="2"/>
  <c r="P280" i="2"/>
  <c r="Q280" i="2" s="1"/>
  <c r="U279" i="2"/>
  <c r="T279" i="2"/>
  <c r="S279" i="2" a="1"/>
  <c r="S279" i="2" s="1"/>
  <c r="R279" i="2"/>
  <c r="P279" i="2"/>
  <c r="Q279" i="2" s="1"/>
  <c r="U278" i="2"/>
  <c r="T278" i="2"/>
  <c r="S278" i="2"/>
  <c r="S278" i="2" a="1"/>
  <c r="R278" i="2"/>
  <c r="P278" i="2"/>
  <c r="Q278" i="2" s="1"/>
  <c r="U277" i="2"/>
  <c r="T277" i="2"/>
  <c r="S277" i="2" a="1"/>
  <c r="S277" i="2" s="1"/>
  <c r="R277" i="2"/>
  <c r="P277" i="2"/>
  <c r="Q277" i="2" s="1"/>
  <c r="U276" i="2"/>
  <c r="T276" i="2"/>
  <c r="S276" i="2" a="1"/>
  <c r="S276" i="2" s="1"/>
  <c r="R276" i="2"/>
  <c r="P276" i="2"/>
  <c r="Q276" i="2" s="1"/>
  <c r="U275" i="2"/>
  <c r="T275" i="2"/>
  <c r="S275" i="2" a="1"/>
  <c r="S275" i="2" s="1"/>
  <c r="R275" i="2"/>
  <c r="P275" i="2"/>
  <c r="Q275" i="2" s="1"/>
  <c r="U274" i="2"/>
  <c r="T274" i="2"/>
  <c r="S274" i="2" a="1"/>
  <c r="S274" i="2" s="1"/>
  <c r="R274" i="2"/>
  <c r="P274" i="2"/>
  <c r="Q274" i="2" s="1"/>
  <c r="U273" i="2"/>
  <c r="T273" i="2"/>
  <c r="S273" i="2" a="1"/>
  <c r="S273" i="2" s="1"/>
  <c r="R273" i="2"/>
  <c r="P273" i="2"/>
  <c r="Q273" i="2" s="1"/>
  <c r="U272" i="2"/>
  <c r="T272" i="2"/>
  <c r="S272" i="2" a="1"/>
  <c r="S272" i="2" s="1"/>
  <c r="R272" i="2"/>
  <c r="P272" i="2"/>
  <c r="Q272" i="2" s="1"/>
  <c r="U271" i="2"/>
  <c r="T271" i="2"/>
  <c r="S271" i="2" a="1"/>
  <c r="S271" i="2" s="1"/>
  <c r="R271" i="2"/>
  <c r="P271" i="2"/>
  <c r="Q271" i="2" s="1"/>
  <c r="U270" i="2"/>
  <c r="T270" i="2"/>
  <c r="S270" i="2" a="1"/>
  <c r="S270" i="2" s="1"/>
  <c r="R270" i="2"/>
  <c r="Q270" i="2"/>
  <c r="P270" i="2"/>
  <c r="U269" i="2"/>
  <c r="T269" i="2"/>
  <c r="S269" i="2" a="1"/>
  <c r="S269" i="2" s="1"/>
  <c r="R269" i="2"/>
  <c r="P269" i="2"/>
  <c r="Q269" i="2" s="1"/>
  <c r="U268" i="2"/>
  <c r="T268" i="2"/>
  <c r="S268" i="2" a="1"/>
  <c r="S268" i="2" s="1"/>
  <c r="R268" i="2"/>
  <c r="P268" i="2"/>
  <c r="Q268" i="2" s="1"/>
  <c r="U267" i="2"/>
  <c r="T267" i="2"/>
  <c r="S267" i="2" a="1"/>
  <c r="S267" i="2" s="1"/>
  <c r="R267" i="2"/>
  <c r="P267" i="2"/>
  <c r="Q267" i="2" s="1"/>
  <c r="U266" i="2"/>
  <c r="T266" i="2"/>
  <c r="S266" i="2" a="1"/>
  <c r="S266" i="2" s="1"/>
  <c r="R266" i="2"/>
  <c r="P266" i="2"/>
  <c r="Q266" i="2" s="1"/>
  <c r="U265" i="2"/>
  <c r="T265" i="2"/>
  <c r="S265" i="2" a="1"/>
  <c r="S265" i="2" s="1"/>
  <c r="R265" i="2"/>
  <c r="P265" i="2"/>
  <c r="Q265" i="2" s="1"/>
  <c r="U264" i="2"/>
  <c r="T264" i="2"/>
  <c r="S264" i="2" a="1"/>
  <c r="S264" i="2" s="1"/>
  <c r="R264" i="2"/>
  <c r="P264" i="2"/>
  <c r="Q264" i="2" s="1"/>
  <c r="U263" i="2"/>
  <c r="T263" i="2"/>
  <c r="S263" i="2" a="1"/>
  <c r="S263" i="2" s="1"/>
  <c r="R263" i="2"/>
  <c r="P263" i="2"/>
  <c r="Q263" i="2" s="1"/>
  <c r="U262" i="2"/>
  <c r="T262" i="2"/>
  <c r="S262" i="2" a="1"/>
  <c r="S262" i="2" s="1"/>
  <c r="R262" i="2"/>
  <c r="P262" i="2"/>
  <c r="Q262" i="2" s="1"/>
  <c r="U261" i="2"/>
  <c r="T261" i="2"/>
  <c r="S261" i="2" a="1"/>
  <c r="S261" i="2" s="1"/>
  <c r="R261" i="2"/>
  <c r="P261" i="2"/>
  <c r="Q261" i="2" s="1"/>
  <c r="U260" i="2"/>
  <c r="T260" i="2"/>
  <c r="S260" i="2" a="1"/>
  <c r="S260" i="2" s="1"/>
  <c r="R260" i="2"/>
  <c r="P260" i="2"/>
  <c r="Q260" i="2" s="1"/>
  <c r="U259" i="2"/>
  <c r="T259" i="2"/>
  <c r="S259" i="2" a="1"/>
  <c r="S259" i="2" s="1"/>
  <c r="R259" i="2"/>
  <c r="P259" i="2"/>
  <c r="Q259" i="2" s="1"/>
  <c r="U258" i="2"/>
  <c r="T258" i="2"/>
  <c r="S258" i="2" a="1"/>
  <c r="S258" i="2" s="1"/>
  <c r="R258" i="2"/>
  <c r="P258" i="2"/>
  <c r="Q258" i="2" s="1"/>
  <c r="U257" i="2"/>
  <c r="T257" i="2"/>
  <c r="S257" i="2" a="1"/>
  <c r="S257" i="2" s="1"/>
  <c r="R257" i="2"/>
  <c r="P257" i="2"/>
  <c r="Q257" i="2" s="1"/>
  <c r="U256" i="2"/>
  <c r="T256" i="2"/>
  <c r="S256" i="2" a="1"/>
  <c r="S256" i="2" s="1"/>
  <c r="R256" i="2"/>
  <c r="P256" i="2"/>
  <c r="Q256" i="2" s="1"/>
  <c r="U255" i="2"/>
  <c r="T255" i="2"/>
  <c r="S255" i="2" a="1"/>
  <c r="S255" i="2" s="1"/>
  <c r="R255" i="2"/>
  <c r="P255" i="2"/>
  <c r="Q255" i="2" s="1"/>
  <c r="U254" i="2"/>
  <c r="T254" i="2"/>
  <c r="S254" i="2" a="1"/>
  <c r="S254" i="2" s="1"/>
  <c r="R254" i="2"/>
  <c r="P254" i="2"/>
  <c r="Q254" i="2" s="1"/>
  <c r="U253" i="2"/>
  <c r="T253" i="2"/>
  <c r="S253" i="2" a="1"/>
  <c r="S253" i="2" s="1"/>
  <c r="R253" i="2"/>
  <c r="P253" i="2"/>
  <c r="Q253" i="2" s="1"/>
  <c r="U252" i="2"/>
  <c r="T252" i="2"/>
  <c r="S252" i="2" a="1"/>
  <c r="S252" i="2" s="1"/>
  <c r="R252" i="2"/>
  <c r="P252" i="2"/>
  <c r="Q252" i="2" s="1"/>
  <c r="U251" i="2"/>
  <c r="T251" i="2"/>
  <c r="S251" i="2" a="1"/>
  <c r="S251" i="2" s="1"/>
  <c r="R251" i="2"/>
  <c r="Q251" i="2"/>
  <c r="P251" i="2"/>
  <c r="U250" i="2"/>
  <c r="T250" i="2"/>
  <c r="S250" i="2" a="1"/>
  <c r="S250" i="2" s="1"/>
  <c r="R250" i="2"/>
  <c r="P250" i="2"/>
  <c r="Q250" i="2" s="1"/>
  <c r="U249" i="2"/>
  <c r="T249" i="2"/>
  <c r="S249" i="2" a="1"/>
  <c r="S249" i="2" s="1"/>
  <c r="R249" i="2"/>
  <c r="P249" i="2"/>
  <c r="Q249" i="2" s="1"/>
  <c r="U248" i="2"/>
  <c r="T248" i="2"/>
  <c r="S248" i="2" a="1"/>
  <c r="S248" i="2" s="1"/>
  <c r="R248" i="2"/>
  <c r="P248" i="2"/>
  <c r="Q248" i="2" s="1"/>
  <c r="U247" i="2"/>
  <c r="T247" i="2"/>
  <c r="S247" i="2" a="1"/>
  <c r="S247" i="2" s="1"/>
  <c r="R247" i="2"/>
  <c r="P247" i="2"/>
  <c r="Q247" i="2" s="1"/>
  <c r="U246" i="2"/>
  <c r="T246" i="2"/>
  <c r="S246" i="2" a="1"/>
  <c r="S246" i="2" s="1"/>
  <c r="R246" i="2"/>
  <c r="Q246" i="2"/>
  <c r="P246" i="2"/>
  <c r="U245" i="2"/>
  <c r="T245" i="2"/>
  <c r="S245" i="2" a="1"/>
  <c r="S245" i="2" s="1"/>
  <c r="R245" i="2"/>
  <c r="P245" i="2"/>
  <c r="Q245" i="2" s="1"/>
  <c r="U244" i="2"/>
  <c r="T244" i="2"/>
  <c r="S244" i="2" a="1"/>
  <c r="S244" i="2" s="1"/>
  <c r="R244" i="2"/>
  <c r="P244" i="2"/>
  <c r="Q244" i="2" s="1"/>
  <c r="U243" i="2"/>
  <c r="T243" i="2"/>
  <c r="S243" i="2"/>
  <c r="S243" i="2" a="1"/>
  <c r="R243" i="2"/>
  <c r="Q243" i="2"/>
  <c r="P243" i="2"/>
  <c r="U242" i="2"/>
  <c r="T242" i="2"/>
  <c r="S242" i="2" a="1"/>
  <c r="S242" i="2" s="1"/>
  <c r="R242" i="2"/>
  <c r="P242" i="2"/>
  <c r="Q242" i="2" s="1"/>
  <c r="U241" i="2"/>
  <c r="T241" i="2"/>
  <c r="S241" i="2" a="1"/>
  <c r="S241" i="2" s="1"/>
  <c r="R241" i="2"/>
  <c r="Q241" i="2"/>
  <c r="P241" i="2"/>
  <c r="U240" i="2"/>
  <c r="T240" i="2"/>
  <c r="S240" i="2" a="1"/>
  <c r="S240" i="2" s="1"/>
  <c r="R240" i="2"/>
  <c r="P240" i="2"/>
  <c r="Q240" i="2" s="1"/>
  <c r="U239" i="2"/>
  <c r="T239" i="2"/>
  <c r="S239" i="2" a="1"/>
  <c r="S239" i="2" s="1"/>
  <c r="R239" i="2"/>
  <c r="P239" i="2"/>
  <c r="Q239" i="2" s="1"/>
  <c r="U238" i="2"/>
  <c r="T238" i="2"/>
  <c r="S238" i="2" a="1"/>
  <c r="S238" i="2" s="1"/>
  <c r="R238" i="2"/>
  <c r="P238" i="2"/>
  <c r="Q238" i="2" s="1"/>
  <c r="U237" i="2"/>
  <c r="T237" i="2"/>
  <c r="S237" i="2" a="1"/>
  <c r="S237" i="2" s="1"/>
  <c r="R237" i="2"/>
  <c r="P237" i="2"/>
  <c r="Q237" i="2" s="1"/>
  <c r="U236" i="2"/>
  <c r="T236" i="2"/>
  <c r="S236" i="2"/>
  <c r="S236" i="2" a="1"/>
  <c r="R236" i="2"/>
  <c r="P236" i="2"/>
  <c r="Q236" i="2" s="1"/>
  <c r="U235" i="2"/>
  <c r="T235" i="2"/>
  <c r="S235" i="2" a="1"/>
  <c r="S235" i="2" s="1"/>
  <c r="R235" i="2"/>
  <c r="P235" i="2"/>
  <c r="Q235" i="2" s="1"/>
  <c r="U234" i="2"/>
  <c r="T234" i="2"/>
  <c r="S234" i="2" a="1"/>
  <c r="S234" i="2" s="1"/>
  <c r="R234" i="2"/>
  <c r="P234" i="2"/>
  <c r="Q234" i="2" s="1"/>
  <c r="U233" i="2"/>
  <c r="T233" i="2"/>
  <c r="S233" i="2" a="1"/>
  <c r="S233" i="2" s="1"/>
  <c r="R233" i="2"/>
  <c r="Q233" i="2"/>
  <c r="P233" i="2"/>
  <c r="U232" i="2"/>
  <c r="T232" i="2"/>
  <c r="S232" i="2" a="1"/>
  <c r="S232" i="2" s="1"/>
  <c r="R232" i="2"/>
  <c r="P232" i="2"/>
  <c r="Q232" i="2" s="1"/>
  <c r="U231" i="2"/>
  <c r="T231" i="2"/>
  <c r="S231" i="2" a="1"/>
  <c r="S231" i="2" s="1"/>
  <c r="R231" i="2"/>
  <c r="P231" i="2"/>
  <c r="Q231" i="2" s="1"/>
  <c r="U230" i="2"/>
  <c r="T230" i="2"/>
  <c r="S230" i="2"/>
  <c r="S230" i="2" a="1"/>
  <c r="R230" i="2"/>
  <c r="P230" i="2"/>
  <c r="Q230" i="2" s="1"/>
  <c r="U229" i="2"/>
  <c r="T229" i="2"/>
  <c r="S229" i="2" a="1"/>
  <c r="S229" i="2" s="1"/>
  <c r="R229" i="2"/>
  <c r="P229" i="2"/>
  <c r="Q229" i="2" s="1"/>
  <c r="U228" i="2"/>
  <c r="T228" i="2"/>
  <c r="S228" i="2" a="1"/>
  <c r="S228" i="2" s="1"/>
  <c r="R228" i="2"/>
  <c r="P228" i="2"/>
  <c r="Q228" i="2" s="1"/>
  <c r="U227" i="2"/>
  <c r="T227" i="2"/>
  <c r="S227" i="2"/>
  <c r="S227" i="2" a="1"/>
  <c r="R227" i="2"/>
  <c r="P227" i="2"/>
  <c r="Q227" i="2" s="1"/>
  <c r="U226" i="2"/>
  <c r="T226" i="2"/>
  <c r="S226" i="2" a="1"/>
  <c r="S226" i="2" s="1"/>
  <c r="R226" i="2"/>
  <c r="Q226" i="2"/>
  <c r="P226" i="2"/>
  <c r="U225" i="2"/>
  <c r="T225" i="2"/>
  <c r="S225" i="2" a="1"/>
  <c r="S225" i="2" s="1"/>
  <c r="R225" i="2"/>
  <c r="Q225" i="2"/>
  <c r="P225" i="2"/>
  <c r="U224" i="2"/>
  <c r="T224" i="2"/>
  <c r="S224" i="2" a="1"/>
  <c r="S224" i="2" s="1"/>
  <c r="R224" i="2"/>
  <c r="P224" i="2"/>
  <c r="Q224" i="2" s="1"/>
  <c r="U223" i="2"/>
  <c r="T223" i="2"/>
  <c r="S223" i="2" a="1"/>
  <c r="S223" i="2" s="1"/>
  <c r="R223" i="2"/>
  <c r="P223" i="2"/>
  <c r="Q223" i="2" s="1"/>
  <c r="U222" i="2"/>
  <c r="T222" i="2"/>
  <c r="S222" i="2" a="1"/>
  <c r="S222" i="2" s="1"/>
  <c r="R222" i="2"/>
  <c r="P222" i="2"/>
  <c r="Q222" i="2" s="1"/>
  <c r="U221" i="2"/>
  <c r="T221" i="2"/>
  <c r="S221" i="2" a="1"/>
  <c r="S221" i="2" s="1"/>
  <c r="R221" i="2"/>
  <c r="P221" i="2"/>
  <c r="Q221" i="2" s="1"/>
  <c r="U220" i="2"/>
  <c r="T220" i="2"/>
  <c r="S220" i="2" a="1"/>
  <c r="S220" i="2" s="1"/>
  <c r="R220" i="2"/>
  <c r="P220" i="2"/>
  <c r="Q220" i="2" s="1"/>
  <c r="U219" i="2"/>
  <c r="T219" i="2"/>
  <c r="S219" i="2"/>
  <c r="S219" i="2" a="1"/>
  <c r="R219" i="2"/>
  <c r="P219" i="2"/>
  <c r="Q219" i="2" s="1"/>
  <c r="U218" i="2"/>
  <c r="T218" i="2"/>
  <c r="S218" i="2" a="1"/>
  <c r="S218" i="2" s="1"/>
  <c r="R218" i="2"/>
  <c r="P218" i="2"/>
  <c r="Q218" i="2" s="1"/>
  <c r="U217" i="2"/>
  <c r="T217" i="2"/>
  <c r="S217" i="2" a="1"/>
  <c r="S217" i="2" s="1"/>
  <c r="R217" i="2"/>
  <c r="P217" i="2"/>
  <c r="Q217" i="2" s="1"/>
  <c r="U216" i="2"/>
  <c r="T216" i="2"/>
  <c r="S216" i="2" a="1"/>
  <c r="S216" i="2" s="1"/>
  <c r="R216" i="2"/>
  <c r="P216" i="2"/>
  <c r="Q216" i="2" s="1"/>
  <c r="U215" i="2"/>
  <c r="T215" i="2"/>
  <c r="S215" i="2" a="1"/>
  <c r="S215" i="2" s="1"/>
  <c r="R215" i="2"/>
  <c r="P215" i="2"/>
  <c r="Q215" i="2" s="1"/>
  <c r="U214" i="2"/>
  <c r="T214" i="2"/>
  <c r="S214" i="2"/>
  <c r="S214" i="2" a="1"/>
  <c r="R214" i="2"/>
  <c r="P214" i="2"/>
  <c r="Q214" i="2" s="1"/>
  <c r="U213" i="2"/>
  <c r="T213" i="2"/>
  <c r="S213" i="2" a="1"/>
  <c r="S213" i="2" s="1"/>
  <c r="R213" i="2"/>
  <c r="Q213" i="2"/>
  <c r="P213" i="2"/>
  <c r="U212" i="2"/>
  <c r="T212" i="2"/>
  <c r="S212" i="2" a="1"/>
  <c r="S212" i="2" s="1"/>
  <c r="R212" i="2"/>
  <c r="P212" i="2"/>
  <c r="Q212" i="2" s="1"/>
  <c r="U211" i="2"/>
  <c r="T211" i="2"/>
  <c r="S211" i="2" a="1"/>
  <c r="S211" i="2" s="1"/>
  <c r="R211" i="2"/>
  <c r="P211" i="2"/>
  <c r="Q211" i="2" s="1"/>
  <c r="U210" i="2"/>
  <c r="T210" i="2"/>
  <c r="S210" i="2" a="1"/>
  <c r="S210" i="2" s="1"/>
  <c r="R210" i="2"/>
  <c r="P210" i="2"/>
  <c r="Q210" i="2" s="1"/>
  <c r="U209" i="2"/>
  <c r="T209" i="2"/>
  <c r="S209" i="2" a="1"/>
  <c r="S209" i="2" s="1"/>
  <c r="R209" i="2"/>
  <c r="P209" i="2"/>
  <c r="Q209" i="2" s="1"/>
  <c r="U208" i="2"/>
  <c r="T208" i="2"/>
  <c r="S208" i="2" a="1"/>
  <c r="S208" i="2" s="1"/>
  <c r="R208" i="2"/>
  <c r="P208" i="2"/>
  <c r="Q208" i="2" s="1"/>
  <c r="U207" i="2"/>
  <c r="T207" i="2"/>
  <c r="S207" i="2" a="1"/>
  <c r="S207" i="2" s="1"/>
  <c r="R207" i="2"/>
  <c r="P207" i="2"/>
  <c r="Q207" i="2" s="1"/>
  <c r="U206" i="2"/>
  <c r="T206" i="2"/>
  <c r="S206" i="2" a="1"/>
  <c r="S206" i="2" s="1"/>
  <c r="R206" i="2"/>
  <c r="P206" i="2"/>
  <c r="Q206" i="2" s="1"/>
  <c r="U205" i="2"/>
  <c r="T205" i="2"/>
  <c r="S205" i="2" a="1"/>
  <c r="S205" i="2" s="1"/>
  <c r="R205" i="2"/>
  <c r="P205" i="2"/>
  <c r="Q205" i="2" s="1"/>
  <c r="U204" i="2"/>
  <c r="T204" i="2"/>
  <c r="S204" i="2" a="1"/>
  <c r="S204" i="2" s="1"/>
  <c r="R204" i="2"/>
  <c r="P204" i="2"/>
  <c r="Q204" i="2" s="1"/>
  <c r="U203" i="2"/>
  <c r="T203" i="2"/>
  <c r="S203" i="2" a="1"/>
  <c r="S203" i="2" s="1"/>
  <c r="R203" i="2"/>
  <c r="P203" i="2"/>
  <c r="Q203" i="2" s="1"/>
  <c r="U202" i="2"/>
  <c r="T202" i="2"/>
  <c r="S202" i="2" a="1"/>
  <c r="S202" i="2" s="1"/>
  <c r="R202" i="2"/>
  <c r="P202" i="2"/>
  <c r="Q202" i="2" s="1"/>
  <c r="U201" i="2"/>
  <c r="T201" i="2"/>
  <c r="S201" i="2" a="1"/>
  <c r="S201" i="2" s="1"/>
  <c r="R201" i="2"/>
  <c r="P201" i="2"/>
  <c r="Q201" i="2" s="1"/>
  <c r="U200" i="2"/>
  <c r="T200" i="2"/>
  <c r="S200" i="2" a="1"/>
  <c r="S200" i="2" s="1"/>
  <c r="R200" i="2"/>
  <c r="P200" i="2"/>
  <c r="Q200" i="2" s="1"/>
  <c r="U199" i="2"/>
  <c r="T199" i="2"/>
  <c r="S199" i="2" a="1"/>
  <c r="S199" i="2" s="1"/>
  <c r="R199" i="2"/>
  <c r="P199" i="2"/>
  <c r="Q199" i="2" s="1"/>
  <c r="U198" i="2"/>
  <c r="T198" i="2"/>
  <c r="S198" i="2" a="1"/>
  <c r="S198" i="2" s="1"/>
  <c r="R198" i="2"/>
  <c r="P198" i="2"/>
  <c r="Q198" i="2" s="1"/>
  <c r="U197" i="2"/>
  <c r="T197" i="2"/>
  <c r="S197" i="2" a="1"/>
  <c r="S197" i="2" s="1"/>
  <c r="R197" i="2"/>
  <c r="P197" i="2"/>
  <c r="Q197" i="2" s="1"/>
  <c r="U196" i="2"/>
  <c r="T196" i="2"/>
  <c r="S196" i="2" a="1"/>
  <c r="S196" i="2" s="1"/>
  <c r="R196" i="2"/>
  <c r="P196" i="2"/>
  <c r="Q196" i="2" s="1"/>
  <c r="U195" i="2"/>
  <c r="T195" i="2"/>
  <c r="S195" i="2" a="1"/>
  <c r="S195" i="2" s="1"/>
  <c r="R195" i="2"/>
  <c r="P195" i="2"/>
  <c r="Q195" i="2" s="1"/>
  <c r="U194" i="2"/>
  <c r="T194" i="2"/>
  <c r="S194" i="2" a="1"/>
  <c r="S194" i="2" s="1"/>
  <c r="R194" i="2"/>
  <c r="P194" i="2"/>
  <c r="Q194" i="2" s="1"/>
  <c r="U193" i="2"/>
  <c r="T193" i="2"/>
  <c r="S193" i="2" a="1"/>
  <c r="S193" i="2" s="1"/>
  <c r="R193" i="2"/>
  <c r="P193" i="2"/>
  <c r="Q193" i="2" s="1"/>
  <c r="U192" i="2"/>
  <c r="T192" i="2"/>
  <c r="S192" i="2" a="1"/>
  <c r="S192" i="2" s="1"/>
  <c r="R192" i="2"/>
  <c r="P192" i="2"/>
  <c r="Q192" i="2" s="1"/>
  <c r="U191" i="2"/>
  <c r="T191" i="2"/>
  <c r="S191" i="2" a="1"/>
  <c r="S191" i="2" s="1"/>
  <c r="R191" i="2"/>
  <c r="P191" i="2"/>
  <c r="Q191" i="2" s="1"/>
  <c r="U190" i="2"/>
  <c r="T190" i="2"/>
  <c r="S190" i="2" a="1"/>
  <c r="S190" i="2" s="1"/>
  <c r="R190" i="2"/>
  <c r="P190" i="2"/>
  <c r="Q190" i="2" s="1"/>
  <c r="U189" i="2"/>
  <c r="T189" i="2"/>
  <c r="S189" i="2" a="1"/>
  <c r="S189" i="2" s="1"/>
  <c r="R189" i="2"/>
  <c r="P189" i="2"/>
  <c r="Q189" i="2" s="1"/>
  <c r="U188" i="2"/>
  <c r="T188" i="2"/>
  <c r="S188" i="2" a="1"/>
  <c r="S188" i="2" s="1"/>
  <c r="R188" i="2"/>
  <c r="P188" i="2"/>
  <c r="Q188" i="2" s="1"/>
  <c r="U187" i="2"/>
  <c r="T187" i="2"/>
  <c r="S187" i="2" a="1"/>
  <c r="S187" i="2" s="1"/>
  <c r="R187" i="2"/>
  <c r="P187" i="2"/>
  <c r="Q187" i="2" s="1"/>
  <c r="U186" i="2"/>
  <c r="T186" i="2"/>
  <c r="S186" i="2" a="1"/>
  <c r="S186" i="2" s="1"/>
  <c r="R186" i="2"/>
  <c r="P186" i="2"/>
  <c r="Q186" i="2" s="1"/>
  <c r="U185" i="2"/>
  <c r="T185" i="2"/>
  <c r="S185" i="2" a="1"/>
  <c r="S185" i="2" s="1"/>
  <c r="R185" i="2"/>
  <c r="P185" i="2"/>
  <c r="Q185" i="2" s="1"/>
  <c r="U184" i="2"/>
  <c r="T184" i="2"/>
  <c r="S184" i="2" a="1"/>
  <c r="S184" i="2" s="1"/>
  <c r="R184" i="2"/>
  <c r="P184" i="2"/>
  <c r="Q184" i="2" s="1"/>
  <c r="U183" i="2"/>
  <c r="T183" i="2"/>
  <c r="S183" i="2" a="1"/>
  <c r="S183" i="2" s="1"/>
  <c r="R183" i="2"/>
  <c r="P183" i="2"/>
  <c r="Q183" i="2" s="1"/>
  <c r="U182" i="2"/>
  <c r="T182" i="2"/>
  <c r="S182" i="2" a="1"/>
  <c r="S182" i="2" s="1"/>
  <c r="R182" i="2"/>
  <c r="Q182" i="2"/>
  <c r="P182" i="2"/>
  <c r="U181" i="2"/>
  <c r="T181" i="2"/>
  <c r="S181" i="2" a="1"/>
  <c r="S181" i="2" s="1"/>
  <c r="R181" i="2"/>
  <c r="P181" i="2"/>
  <c r="Q181" i="2" s="1"/>
  <c r="U180" i="2"/>
  <c r="T180" i="2"/>
  <c r="S180" i="2" a="1"/>
  <c r="S180" i="2" s="1"/>
  <c r="R180" i="2"/>
  <c r="P180" i="2"/>
  <c r="Q180" i="2" s="1"/>
  <c r="U179" i="2"/>
  <c r="T179" i="2"/>
  <c r="S179" i="2"/>
  <c r="S179" i="2" a="1"/>
  <c r="R179" i="2"/>
  <c r="Q179" i="2"/>
  <c r="P179" i="2"/>
  <c r="U178" i="2"/>
  <c r="T178" i="2"/>
  <c r="S178" i="2" a="1"/>
  <c r="S178" i="2" s="1"/>
  <c r="R178" i="2"/>
  <c r="P178" i="2"/>
  <c r="Q178" i="2" s="1"/>
  <c r="U177" i="2"/>
  <c r="T177" i="2"/>
  <c r="S177" i="2" a="1"/>
  <c r="S177" i="2" s="1"/>
  <c r="R177" i="2"/>
  <c r="P177" i="2"/>
  <c r="Q177" i="2" s="1"/>
  <c r="U176" i="2"/>
  <c r="T176" i="2"/>
  <c r="S176" i="2" a="1"/>
  <c r="S176" i="2" s="1"/>
  <c r="R176" i="2"/>
  <c r="P176" i="2"/>
  <c r="Q176" i="2" s="1"/>
  <c r="U175" i="2"/>
  <c r="T175" i="2"/>
  <c r="S175" i="2"/>
  <c r="S175" i="2" a="1"/>
  <c r="R175" i="2"/>
  <c r="P175" i="2"/>
  <c r="Q175" i="2" s="1"/>
  <c r="U174" i="2"/>
  <c r="T174" i="2"/>
  <c r="S174" i="2" a="1"/>
  <c r="S174" i="2" s="1"/>
  <c r="R174" i="2"/>
  <c r="Q174" i="2"/>
  <c r="P174" i="2"/>
  <c r="U173" i="2"/>
  <c r="T173" i="2"/>
  <c r="S173" i="2" a="1"/>
  <c r="S173" i="2" s="1"/>
  <c r="R173" i="2"/>
  <c r="P173" i="2"/>
  <c r="Q173" i="2" s="1"/>
  <c r="U172" i="2"/>
  <c r="T172" i="2"/>
  <c r="S172" i="2" a="1"/>
  <c r="S172" i="2" s="1"/>
  <c r="R172" i="2"/>
  <c r="P172" i="2"/>
  <c r="Q172" i="2" s="1"/>
  <c r="U171" i="2"/>
  <c r="T171" i="2"/>
  <c r="S171" i="2" a="1"/>
  <c r="S171" i="2" s="1"/>
  <c r="R171" i="2"/>
  <c r="P171" i="2"/>
  <c r="Q171" i="2" s="1"/>
  <c r="U170" i="2"/>
  <c r="T170" i="2"/>
  <c r="S170" i="2" a="1"/>
  <c r="S170" i="2" s="1"/>
  <c r="R170" i="2"/>
  <c r="P170" i="2"/>
  <c r="Q170" i="2" s="1"/>
  <c r="U169" i="2"/>
  <c r="T169" i="2"/>
  <c r="S169" i="2" a="1"/>
  <c r="S169" i="2" s="1"/>
  <c r="R169" i="2"/>
  <c r="P169" i="2"/>
  <c r="Q169" i="2" s="1"/>
  <c r="U168" i="2"/>
  <c r="T168" i="2"/>
  <c r="S168" i="2"/>
  <c r="S168" i="2" a="1"/>
  <c r="R168" i="2"/>
  <c r="P168" i="2"/>
  <c r="Q168" i="2" s="1"/>
  <c r="U167" i="2"/>
  <c r="T167" i="2"/>
  <c r="S167" i="2" a="1"/>
  <c r="S167" i="2" s="1"/>
  <c r="R167" i="2"/>
  <c r="P167" i="2"/>
  <c r="Q167" i="2" s="1"/>
  <c r="U166" i="2"/>
  <c r="T166" i="2"/>
  <c r="S166" i="2" a="1"/>
  <c r="S166" i="2" s="1"/>
  <c r="R166" i="2"/>
  <c r="P166" i="2"/>
  <c r="Q166" i="2" s="1"/>
  <c r="U165" i="2"/>
  <c r="T165" i="2"/>
  <c r="S165" i="2" a="1"/>
  <c r="S165" i="2" s="1"/>
  <c r="R165" i="2"/>
  <c r="P165" i="2"/>
  <c r="Q165" i="2" s="1"/>
  <c r="U164" i="2"/>
  <c r="T164" i="2"/>
  <c r="S164" i="2" a="1"/>
  <c r="S164" i="2" s="1"/>
  <c r="R164" i="2"/>
  <c r="P164" i="2"/>
  <c r="Q164" i="2" s="1"/>
  <c r="U163" i="2"/>
  <c r="T163" i="2"/>
  <c r="S163" i="2" a="1"/>
  <c r="S163" i="2" s="1"/>
  <c r="R163" i="2"/>
  <c r="P163" i="2"/>
  <c r="Q163" i="2" s="1"/>
  <c r="U162" i="2"/>
  <c r="T162" i="2"/>
  <c r="S162" i="2" a="1"/>
  <c r="S162" i="2" s="1"/>
  <c r="R162" i="2"/>
  <c r="P162" i="2"/>
  <c r="Q162" i="2" s="1"/>
  <c r="U161" i="2"/>
  <c r="T161" i="2"/>
  <c r="S161" i="2" a="1"/>
  <c r="S161" i="2" s="1"/>
  <c r="R161" i="2"/>
  <c r="P161" i="2"/>
  <c r="Q161" i="2" s="1"/>
  <c r="U160" i="2"/>
  <c r="T160" i="2"/>
  <c r="S160" i="2" a="1"/>
  <c r="S160" i="2" s="1"/>
  <c r="R160" i="2"/>
  <c r="P160" i="2"/>
  <c r="Q160" i="2" s="1"/>
  <c r="U159" i="2"/>
  <c r="T159" i="2"/>
  <c r="S159" i="2"/>
  <c r="S159" i="2" a="1"/>
  <c r="R159" i="2"/>
  <c r="P159" i="2"/>
  <c r="Q159" i="2" s="1"/>
  <c r="U158" i="2"/>
  <c r="T158" i="2"/>
  <c r="S158" i="2" a="1"/>
  <c r="S158" i="2" s="1"/>
  <c r="R158" i="2"/>
  <c r="Q158" i="2"/>
  <c r="P158" i="2"/>
  <c r="U157" i="2"/>
  <c r="T157" i="2"/>
  <c r="S157" i="2" a="1"/>
  <c r="S157" i="2" s="1"/>
  <c r="R157" i="2"/>
  <c r="P157" i="2"/>
  <c r="Q157" i="2" s="1"/>
  <c r="U156" i="2"/>
  <c r="T156" i="2"/>
  <c r="S156" i="2" a="1"/>
  <c r="S156" i="2" s="1"/>
  <c r="R156" i="2"/>
  <c r="P156" i="2"/>
  <c r="Q156" i="2" s="1"/>
  <c r="U155" i="2"/>
  <c r="T155" i="2"/>
  <c r="S155" i="2" a="1"/>
  <c r="S155" i="2" s="1"/>
  <c r="R155" i="2"/>
  <c r="P155" i="2"/>
  <c r="Q155" i="2" s="1"/>
  <c r="U154" i="2"/>
  <c r="T154" i="2"/>
  <c r="S154" i="2" a="1"/>
  <c r="S154" i="2" s="1"/>
  <c r="R154" i="2"/>
  <c r="P154" i="2"/>
  <c r="Q154" i="2" s="1"/>
  <c r="U153" i="2"/>
  <c r="T153" i="2"/>
  <c r="S153" i="2" a="1"/>
  <c r="S153" i="2" s="1"/>
  <c r="R153" i="2"/>
  <c r="P153" i="2"/>
  <c r="Q153" i="2" s="1"/>
  <c r="U152" i="2"/>
  <c r="T152" i="2"/>
  <c r="S152" i="2" a="1"/>
  <c r="S152" i="2" s="1"/>
  <c r="R152" i="2"/>
  <c r="P152" i="2"/>
  <c r="Q152" i="2" s="1"/>
  <c r="U151" i="2"/>
  <c r="T151" i="2"/>
  <c r="S151" i="2"/>
  <c r="S151" i="2" a="1"/>
  <c r="R151" i="2"/>
  <c r="P151" i="2"/>
  <c r="Q151" i="2" s="1"/>
  <c r="U150" i="2"/>
  <c r="T150" i="2"/>
  <c r="S150" i="2" a="1"/>
  <c r="S150" i="2" s="1"/>
  <c r="R150" i="2"/>
  <c r="Q150" i="2"/>
  <c r="P150" i="2"/>
  <c r="U149" i="2"/>
  <c r="T149" i="2"/>
  <c r="S149" i="2" a="1"/>
  <c r="S149" i="2" s="1"/>
  <c r="R149" i="2"/>
  <c r="P149" i="2"/>
  <c r="Q149" i="2" s="1"/>
  <c r="U148" i="2"/>
  <c r="T148" i="2"/>
  <c r="S148" i="2" a="1"/>
  <c r="S148" i="2" s="1"/>
  <c r="R148" i="2"/>
  <c r="P148" i="2"/>
  <c r="Q148" i="2" s="1"/>
  <c r="U147" i="2"/>
  <c r="T147" i="2"/>
  <c r="S147" i="2" a="1"/>
  <c r="S147" i="2" s="1"/>
  <c r="R147" i="2"/>
  <c r="P147" i="2"/>
  <c r="Q147" i="2" s="1"/>
  <c r="U146" i="2"/>
  <c r="T146" i="2"/>
  <c r="S146" i="2" a="1"/>
  <c r="S146" i="2" s="1"/>
  <c r="R146" i="2"/>
  <c r="Q146" i="2"/>
  <c r="P146" i="2"/>
  <c r="U145" i="2"/>
  <c r="T145" i="2"/>
  <c r="S145" i="2" a="1"/>
  <c r="S145" i="2" s="1"/>
  <c r="R145" i="2"/>
  <c r="P145" i="2"/>
  <c r="Q145" i="2" s="1"/>
  <c r="U144" i="2"/>
  <c r="T144" i="2"/>
  <c r="S144" i="2" a="1"/>
  <c r="S144" i="2" s="1"/>
  <c r="R144" i="2"/>
  <c r="P144" i="2"/>
  <c r="Q144" i="2" s="1"/>
  <c r="U143" i="2"/>
  <c r="T143" i="2"/>
  <c r="S143" i="2" a="1"/>
  <c r="S143" i="2" s="1"/>
  <c r="R143" i="2"/>
  <c r="P143" i="2"/>
  <c r="Q143" i="2" s="1"/>
  <c r="U142" i="2"/>
  <c r="T142" i="2"/>
  <c r="S142" i="2" a="1"/>
  <c r="S142" i="2" s="1"/>
  <c r="R142" i="2"/>
  <c r="P142" i="2"/>
  <c r="Q142" i="2" s="1"/>
  <c r="U141" i="2"/>
  <c r="T141" i="2"/>
  <c r="S141" i="2" a="1"/>
  <c r="S141" i="2" s="1"/>
  <c r="R141" i="2"/>
  <c r="P141" i="2"/>
  <c r="Q141" i="2" s="1"/>
  <c r="U140" i="2"/>
  <c r="T140" i="2"/>
  <c r="S140" i="2" a="1"/>
  <c r="S140" i="2" s="1"/>
  <c r="R140" i="2"/>
  <c r="P140" i="2"/>
  <c r="Q140" i="2" s="1"/>
  <c r="U139" i="2"/>
  <c r="T139" i="2"/>
  <c r="S139" i="2" a="1"/>
  <c r="S139" i="2" s="1"/>
  <c r="R139" i="2"/>
  <c r="P139" i="2"/>
  <c r="Q139" i="2" s="1"/>
  <c r="U138" i="2"/>
  <c r="T138" i="2"/>
  <c r="S138" i="2" a="1"/>
  <c r="S138" i="2" s="1"/>
  <c r="R138" i="2"/>
  <c r="Q138" i="2"/>
  <c r="P138" i="2"/>
  <c r="U137" i="2"/>
  <c r="T137" i="2"/>
  <c r="S137" i="2" a="1"/>
  <c r="S137" i="2" s="1"/>
  <c r="R137" i="2"/>
  <c r="P137" i="2"/>
  <c r="Q137" i="2" s="1"/>
  <c r="U136" i="2"/>
  <c r="T136" i="2"/>
  <c r="S136" i="2" a="1"/>
  <c r="S136" i="2" s="1"/>
  <c r="R136" i="2"/>
  <c r="P136" i="2"/>
  <c r="Q136" i="2" s="1"/>
  <c r="U135" i="2"/>
  <c r="T135" i="2"/>
  <c r="S135" i="2"/>
  <c r="S135" i="2" a="1"/>
  <c r="R135" i="2"/>
  <c r="P135" i="2"/>
  <c r="Q135" i="2" s="1"/>
  <c r="U134" i="2"/>
  <c r="T134" i="2"/>
  <c r="S134" i="2" a="1"/>
  <c r="S134" i="2" s="1"/>
  <c r="R134" i="2"/>
  <c r="Q134" i="2"/>
  <c r="P134" i="2"/>
  <c r="U133" i="2"/>
  <c r="T133" i="2"/>
  <c r="S133" i="2" a="1"/>
  <c r="S133" i="2" s="1"/>
  <c r="R133" i="2"/>
  <c r="P133" i="2"/>
  <c r="Q133" i="2" s="1"/>
  <c r="U132" i="2"/>
  <c r="T132" i="2"/>
  <c r="S132" i="2" a="1"/>
  <c r="S132" i="2" s="1"/>
  <c r="R132" i="2"/>
  <c r="P132" i="2"/>
  <c r="Q132" i="2" s="1"/>
  <c r="U131" i="2"/>
  <c r="T131" i="2"/>
  <c r="S131" i="2" a="1"/>
  <c r="S131" i="2" s="1"/>
  <c r="R131" i="2"/>
  <c r="P131" i="2"/>
  <c r="Q131" i="2" s="1"/>
  <c r="U130" i="2"/>
  <c r="T130" i="2"/>
  <c r="S130" i="2" a="1"/>
  <c r="S130" i="2" s="1"/>
  <c r="R130" i="2"/>
  <c r="P130" i="2"/>
  <c r="Q130" i="2" s="1"/>
  <c r="U129" i="2"/>
  <c r="T129" i="2"/>
  <c r="S129" i="2" a="1"/>
  <c r="S129" i="2" s="1"/>
  <c r="R129" i="2"/>
  <c r="P129" i="2"/>
  <c r="Q129" i="2" s="1"/>
  <c r="U128" i="2"/>
  <c r="T128" i="2"/>
  <c r="S128" i="2" a="1"/>
  <c r="S128" i="2" s="1"/>
  <c r="R128" i="2"/>
  <c r="P128" i="2"/>
  <c r="Q128" i="2" s="1"/>
  <c r="U127" i="2"/>
  <c r="T127" i="2"/>
  <c r="S127" i="2" a="1"/>
  <c r="S127" i="2" s="1"/>
  <c r="R127" i="2"/>
  <c r="P127" i="2"/>
  <c r="Q127" i="2" s="1"/>
  <c r="U126" i="2"/>
  <c r="T126" i="2"/>
  <c r="S126" i="2" a="1"/>
  <c r="S126" i="2" s="1"/>
  <c r="R126" i="2"/>
  <c r="P126" i="2"/>
  <c r="Q126" i="2" s="1"/>
  <c r="U125" i="2"/>
  <c r="T125" i="2"/>
  <c r="S125" i="2" a="1"/>
  <c r="S125" i="2" s="1"/>
  <c r="R125" i="2"/>
  <c r="P125" i="2"/>
  <c r="Q125" i="2" s="1"/>
  <c r="U124" i="2"/>
  <c r="T124" i="2"/>
  <c r="S124" i="2" a="1"/>
  <c r="S124" i="2" s="1"/>
  <c r="R124" i="2"/>
  <c r="P124" i="2"/>
  <c r="Q124" i="2" s="1"/>
  <c r="U123" i="2"/>
  <c r="T123" i="2"/>
  <c r="S123" i="2" a="1"/>
  <c r="S123" i="2" s="1"/>
  <c r="R123" i="2"/>
  <c r="P123" i="2"/>
  <c r="Q123" i="2" s="1"/>
  <c r="U122" i="2"/>
  <c r="T122" i="2"/>
  <c r="S122" i="2" a="1"/>
  <c r="S122" i="2" s="1"/>
  <c r="R122" i="2"/>
  <c r="Q122" i="2"/>
  <c r="P122" i="2"/>
  <c r="U121" i="2"/>
  <c r="T121" i="2"/>
  <c r="S121" i="2" a="1"/>
  <c r="S121" i="2" s="1"/>
  <c r="R121" i="2"/>
  <c r="P121" i="2"/>
  <c r="Q121" i="2" s="1"/>
  <c r="U120" i="2"/>
  <c r="T120" i="2"/>
  <c r="S120" i="2" a="1"/>
  <c r="S120" i="2" s="1"/>
  <c r="R120" i="2"/>
  <c r="P120" i="2"/>
  <c r="Q120" i="2" s="1"/>
  <c r="U119" i="2"/>
  <c r="T119" i="2"/>
  <c r="S119" i="2" a="1"/>
  <c r="S119" i="2" s="1"/>
  <c r="R119" i="2"/>
  <c r="P119" i="2"/>
  <c r="Q119" i="2" s="1"/>
  <c r="U118" i="2"/>
  <c r="T118" i="2"/>
  <c r="S118" i="2" a="1"/>
  <c r="S118" i="2" s="1"/>
  <c r="R118" i="2"/>
  <c r="P118" i="2"/>
  <c r="Q118" i="2" s="1"/>
  <c r="U117" i="2"/>
  <c r="T117" i="2"/>
  <c r="S117" i="2" a="1"/>
  <c r="S117" i="2" s="1"/>
  <c r="R117" i="2"/>
  <c r="P117" i="2"/>
  <c r="Q117" i="2" s="1"/>
  <c r="U116" i="2"/>
  <c r="T116" i="2"/>
  <c r="S116" i="2" a="1"/>
  <c r="S116" i="2" s="1"/>
  <c r="R116" i="2"/>
  <c r="P116" i="2"/>
  <c r="Q116" i="2" s="1"/>
  <c r="U115" i="2"/>
  <c r="T115" i="2"/>
  <c r="S115" i="2" a="1"/>
  <c r="S115" i="2" s="1"/>
  <c r="R115" i="2"/>
  <c r="P115" i="2"/>
  <c r="Q115" i="2" s="1"/>
  <c r="U114" i="2"/>
  <c r="T114" i="2"/>
  <c r="S114" i="2" a="1"/>
  <c r="S114" i="2" s="1"/>
  <c r="R114" i="2"/>
  <c r="P114" i="2"/>
  <c r="Q114" i="2" s="1"/>
  <c r="U113" i="2"/>
  <c r="T113" i="2"/>
  <c r="S113" i="2"/>
  <c r="S113" i="2" a="1"/>
  <c r="R113" i="2"/>
  <c r="P113" i="2"/>
  <c r="Q113" i="2" s="1"/>
  <c r="U112" i="2"/>
  <c r="T112" i="2"/>
  <c r="S112" i="2" a="1"/>
  <c r="S112" i="2" s="1"/>
  <c r="R112" i="2"/>
  <c r="Q112" i="2"/>
  <c r="P112" i="2"/>
  <c r="U111" i="2"/>
  <c r="T111" i="2"/>
  <c r="S111" i="2" a="1"/>
  <c r="S111" i="2" s="1"/>
  <c r="R111" i="2"/>
  <c r="P111" i="2"/>
  <c r="Q111" i="2" s="1"/>
  <c r="U110" i="2"/>
  <c r="T110" i="2"/>
  <c r="S110" i="2" a="1"/>
  <c r="S110" i="2" s="1"/>
  <c r="R110" i="2"/>
  <c r="P110" i="2"/>
  <c r="Q110" i="2" s="1"/>
  <c r="U109" i="2"/>
  <c r="T109" i="2"/>
  <c r="S109" i="2"/>
  <c r="S109" i="2" a="1"/>
  <c r="R109" i="2"/>
  <c r="P109" i="2"/>
  <c r="Q109" i="2" s="1"/>
  <c r="U108" i="2"/>
  <c r="T108" i="2"/>
  <c r="S108" i="2" a="1"/>
  <c r="S108" i="2" s="1"/>
  <c r="R108" i="2"/>
  <c r="Q108" i="2"/>
  <c r="P108" i="2"/>
  <c r="U107" i="2"/>
  <c r="T107" i="2"/>
  <c r="S107" i="2" a="1"/>
  <c r="S107" i="2" s="1"/>
  <c r="R107" i="2"/>
  <c r="P107" i="2"/>
  <c r="Q107" i="2" s="1"/>
  <c r="U106" i="2"/>
  <c r="T106" i="2"/>
  <c r="S106" i="2" a="1"/>
  <c r="S106" i="2" s="1"/>
  <c r="R106" i="2"/>
  <c r="P106" i="2"/>
  <c r="Q106" i="2" s="1"/>
  <c r="U105" i="2"/>
  <c r="T105" i="2"/>
  <c r="S105" i="2"/>
  <c r="S105" i="2" a="1"/>
  <c r="R105" i="2"/>
  <c r="P105" i="2"/>
  <c r="Q105" i="2" s="1"/>
  <c r="U104" i="2"/>
  <c r="T104" i="2"/>
  <c r="S104" i="2" a="1"/>
  <c r="S104" i="2" s="1"/>
  <c r="R104" i="2"/>
  <c r="Q104" i="2"/>
  <c r="P104" i="2"/>
  <c r="U103" i="2"/>
  <c r="T103" i="2"/>
  <c r="S103" i="2" a="1"/>
  <c r="S103" i="2" s="1"/>
  <c r="R103" i="2"/>
  <c r="P103" i="2"/>
  <c r="Q103" i="2" s="1"/>
  <c r="U102" i="2"/>
  <c r="T102" i="2"/>
  <c r="S102" i="2" a="1"/>
  <c r="S102" i="2" s="1"/>
  <c r="R102" i="2"/>
  <c r="P102" i="2"/>
  <c r="Q102" i="2" s="1"/>
  <c r="U101" i="2"/>
  <c r="T101" i="2"/>
  <c r="S101" i="2"/>
  <c r="S101" i="2" a="1"/>
  <c r="R101" i="2"/>
  <c r="P101" i="2"/>
  <c r="Q101" i="2" s="1"/>
  <c r="U100" i="2"/>
  <c r="T100" i="2"/>
  <c r="S100" i="2" a="1"/>
  <c r="S100" i="2" s="1"/>
  <c r="R100" i="2"/>
  <c r="Q100" i="2"/>
  <c r="P100" i="2"/>
  <c r="U99" i="2"/>
  <c r="T99" i="2"/>
  <c r="S99" i="2" a="1"/>
  <c r="S99" i="2" s="1"/>
  <c r="R99" i="2"/>
  <c r="P99" i="2"/>
  <c r="Q99" i="2" s="1"/>
  <c r="U98" i="2"/>
  <c r="T98" i="2"/>
  <c r="S98" i="2" a="1"/>
  <c r="S98" i="2" s="1"/>
  <c r="R98" i="2"/>
  <c r="P98" i="2"/>
  <c r="Q98" i="2" s="1"/>
  <c r="U97" i="2"/>
  <c r="T97" i="2"/>
  <c r="S97" i="2"/>
  <c r="S97" i="2" a="1"/>
  <c r="R97" i="2"/>
  <c r="P97" i="2"/>
  <c r="Q97" i="2" s="1"/>
  <c r="U96" i="2"/>
  <c r="T96" i="2"/>
  <c r="S96" i="2" a="1"/>
  <c r="S96" i="2" s="1"/>
  <c r="R96" i="2"/>
  <c r="Q96" i="2"/>
  <c r="P96" i="2"/>
  <c r="U95" i="2"/>
  <c r="T95" i="2"/>
  <c r="S95" i="2" a="1"/>
  <c r="S95" i="2" s="1"/>
  <c r="R95" i="2"/>
  <c r="P95" i="2"/>
  <c r="Q95" i="2" s="1"/>
  <c r="U94" i="2"/>
  <c r="T94" i="2"/>
  <c r="S94" i="2" a="1"/>
  <c r="S94" i="2" s="1"/>
  <c r="R94" i="2"/>
  <c r="P94" i="2"/>
  <c r="Q94" i="2" s="1"/>
  <c r="U93" i="2"/>
  <c r="T93" i="2"/>
  <c r="S93" i="2"/>
  <c r="S93" i="2" a="1"/>
  <c r="R93" i="2"/>
  <c r="P93" i="2"/>
  <c r="Q93" i="2" s="1"/>
  <c r="U92" i="2"/>
  <c r="T92" i="2"/>
  <c r="S92" i="2" a="1"/>
  <c r="S92" i="2" s="1"/>
  <c r="R92" i="2"/>
  <c r="Q92" i="2"/>
  <c r="P92" i="2"/>
  <c r="U91" i="2"/>
  <c r="T91" i="2"/>
  <c r="S91" i="2" a="1"/>
  <c r="S91" i="2" s="1"/>
  <c r="R91" i="2"/>
  <c r="P91" i="2"/>
  <c r="Q91" i="2" s="1"/>
  <c r="U90" i="2"/>
  <c r="T90" i="2"/>
  <c r="S90" i="2" a="1"/>
  <c r="S90" i="2" s="1"/>
  <c r="R90" i="2"/>
  <c r="P90" i="2"/>
  <c r="Q90" i="2" s="1"/>
  <c r="U89" i="2"/>
  <c r="T89" i="2"/>
  <c r="S89" i="2" a="1"/>
  <c r="S89" i="2" s="1"/>
  <c r="R89" i="2"/>
  <c r="P89" i="2"/>
  <c r="Q89" i="2" s="1"/>
  <c r="U88" i="2"/>
  <c r="T88" i="2"/>
  <c r="S88" i="2" a="1"/>
  <c r="S88" i="2" s="1"/>
  <c r="R88" i="2"/>
  <c r="P88" i="2"/>
  <c r="Q88" i="2" s="1"/>
  <c r="U87" i="2"/>
  <c r="T87" i="2"/>
  <c r="S87" i="2" a="1"/>
  <c r="S87" i="2" s="1"/>
  <c r="R87" i="2"/>
  <c r="P87" i="2"/>
  <c r="Q87" i="2" s="1"/>
  <c r="U86" i="2"/>
  <c r="T86" i="2"/>
  <c r="S86" i="2" a="1"/>
  <c r="S86" i="2" s="1"/>
  <c r="R86" i="2"/>
  <c r="P86" i="2"/>
  <c r="Q86" i="2" s="1"/>
  <c r="U85" i="2"/>
  <c r="T85" i="2"/>
  <c r="S85" i="2" a="1"/>
  <c r="S85" i="2" s="1"/>
  <c r="R85" i="2"/>
  <c r="P85" i="2"/>
  <c r="Q85" i="2" s="1"/>
  <c r="U84" i="2"/>
  <c r="T84" i="2"/>
  <c r="S84" i="2" a="1"/>
  <c r="S84" i="2" s="1"/>
  <c r="R84" i="2"/>
  <c r="P84" i="2"/>
  <c r="Q84" i="2" s="1"/>
  <c r="U83" i="2"/>
  <c r="T83" i="2"/>
  <c r="S83" i="2"/>
  <c r="S83" i="2" a="1"/>
  <c r="R83" i="2"/>
  <c r="P83" i="2"/>
  <c r="Q83" i="2" s="1"/>
  <c r="U82" i="2"/>
  <c r="T82" i="2"/>
  <c r="S82" i="2" a="1"/>
  <c r="S82" i="2" s="1"/>
  <c r="R82" i="2"/>
  <c r="Q82" i="2"/>
  <c r="P82" i="2"/>
  <c r="U81" i="2"/>
  <c r="T81" i="2"/>
  <c r="S81" i="2" a="1"/>
  <c r="S81" i="2" s="1"/>
  <c r="R81" i="2"/>
  <c r="P81" i="2"/>
  <c r="Q81" i="2" s="1"/>
  <c r="U80" i="2"/>
  <c r="T80" i="2"/>
  <c r="S80" i="2" a="1"/>
  <c r="S80" i="2" s="1"/>
  <c r="R80" i="2"/>
  <c r="P80" i="2"/>
  <c r="Q80" i="2" s="1"/>
  <c r="U79" i="2"/>
  <c r="T79" i="2"/>
  <c r="S79" i="2"/>
  <c r="S79" i="2" a="1"/>
  <c r="R79" i="2"/>
  <c r="P79" i="2"/>
  <c r="Q79" i="2" s="1"/>
  <c r="U78" i="2"/>
  <c r="T78" i="2"/>
  <c r="S78" i="2" a="1"/>
  <c r="S78" i="2" s="1"/>
  <c r="R78" i="2"/>
  <c r="Q78" i="2"/>
  <c r="P78" i="2"/>
  <c r="U77" i="2"/>
  <c r="T77" i="2"/>
  <c r="S77" i="2" a="1"/>
  <c r="S77" i="2" s="1"/>
  <c r="R77" i="2"/>
  <c r="P77" i="2"/>
  <c r="Q77" i="2" s="1"/>
  <c r="U76" i="2"/>
  <c r="T76" i="2"/>
  <c r="S76" i="2" a="1"/>
  <c r="S76" i="2" s="1"/>
  <c r="R76" i="2"/>
  <c r="P76" i="2"/>
  <c r="Q76" i="2" s="1"/>
  <c r="U75" i="2"/>
  <c r="T75" i="2"/>
  <c r="S75" i="2" a="1"/>
  <c r="S75" i="2" s="1"/>
  <c r="R75" i="2"/>
  <c r="P75" i="2"/>
  <c r="Q75" i="2" s="1"/>
  <c r="U74" i="2"/>
  <c r="T74" i="2"/>
  <c r="S74" i="2" a="1"/>
  <c r="S74" i="2" s="1"/>
  <c r="R74" i="2"/>
  <c r="P74" i="2"/>
  <c r="Q74" i="2" s="1"/>
  <c r="U73" i="2"/>
  <c r="T73" i="2"/>
  <c r="S73" i="2" a="1"/>
  <c r="S73" i="2" s="1"/>
  <c r="R73" i="2"/>
  <c r="P73" i="2"/>
  <c r="Q73" i="2" s="1"/>
  <c r="U72" i="2"/>
  <c r="T72" i="2"/>
  <c r="S72" i="2" a="1"/>
  <c r="S72" i="2" s="1"/>
  <c r="R72" i="2"/>
  <c r="P72" i="2"/>
  <c r="Q72" i="2" s="1"/>
  <c r="U71" i="2"/>
  <c r="T71" i="2"/>
  <c r="S71" i="2" a="1"/>
  <c r="S71" i="2" s="1"/>
  <c r="R71" i="2"/>
  <c r="P71" i="2"/>
  <c r="Q71" i="2" s="1"/>
  <c r="U70" i="2"/>
  <c r="T70" i="2"/>
  <c r="S70" i="2" a="1"/>
  <c r="S70" i="2" s="1"/>
  <c r="R70" i="2"/>
  <c r="P70" i="2"/>
  <c r="Q70" i="2" s="1"/>
  <c r="U69" i="2"/>
  <c r="T69" i="2"/>
  <c r="S69" i="2" a="1"/>
  <c r="S69" i="2" s="1"/>
  <c r="R69" i="2"/>
  <c r="P69" i="2"/>
  <c r="Q69" i="2" s="1"/>
  <c r="U68" i="2"/>
  <c r="T68" i="2"/>
  <c r="S68" i="2" a="1"/>
  <c r="S68" i="2" s="1"/>
  <c r="R68" i="2"/>
  <c r="P68" i="2"/>
  <c r="Q68" i="2" s="1"/>
  <c r="U67" i="2"/>
  <c r="T67" i="2"/>
  <c r="S67" i="2"/>
  <c r="S67" i="2" a="1"/>
  <c r="R67" i="2"/>
  <c r="P67" i="2"/>
  <c r="Q67" i="2" s="1"/>
  <c r="U66" i="2"/>
  <c r="T66" i="2"/>
  <c r="S66" i="2" a="1"/>
  <c r="S66" i="2" s="1"/>
  <c r="R66" i="2"/>
  <c r="Q66" i="2"/>
  <c r="P66" i="2"/>
  <c r="U65" i="2"/>
  <c r="T65" i="2"/>
  <c r="S65" i="2" a="1"/>
  <c r="S65" i="2" s="1"/>
  <c r="R65" i="2"/>
  <c r="P65" i="2"/>
  <c r="Q65" i="2" s="1"/>
  <c r="U64" i="2"/>
  <c r="T64" i="2"/>
  <c r="S64" i="2" a="1"/>
  <c r="S64" i="2" s="1"/>
  <c r="R64" i="2"/>
  <c r="P64" i="2"/>
  <c r="Q64" i="2" s="1"/>
  <c r="U63" i="2"/>
  <c r="T63" i="2"/>
  <c r="S63" i="2" a="1"/>
  <c r="S63" i="2" s="1"/>
  <c r="R63" i="2"/>
  <c r="P63" i="2"/>
  <c r="Q63" i="2" s="1"/>
  <c r="U62" i="2"/>
  <c r="T62" i="2"/>
  <c r="S62" i="2" a="1"/>
  <c r="S62" i="2" s="1"/>
  <c r="R62" i="2"/>
  <c r="P62" i="2"/>
  <c r="Q62" i="2" s="1"/>
  <c r="U61" i="2"/>
  <c r="T61" i="2"/>
  <c r="S61" i="2" a="1"/>
  <c r="S61" i="2" s="1"/>
  <c r="R61" i="2"/>
  <c r="P61" i="2"/>
  <c r="Q61" i="2" s="1"/>
  <c r="U60" i="2"/>
  <c r="T60" i="2"/>
  <c r="S60" i="2" a="1"/>
  <c r="S60" i="2" s="1"/>
  <c r="R60" i="2"/>
  <c r="P60" i="2"/>
  <c r="Q60" i="2" s="1"/>
  <c r="U59" i="2"/>
  <c r="T59" i="2"/>
  <c r="S59" i="2" a="1"/>
  <c r="S59" i="2" s="1"/>
  <c r="R59" i="2"/>
  <c r="P59" i="2"/>
  <c r="Q59" i="2" s="1"/>
  <c r="U58" i="2"/>
  <c r="T58" i="2"/>
  <c r="S58" i="2" a="1"/>
  <c r="S58" i="2" s="1"/>
  <c r="R58" i="2"/>
  <c r="P58" i="2"/>
  <c r="Q58" i="2" s="1"/>
  <c r="U57" i="2"/>
  <c r="T57" i="2"/>
  <c r="S57" i="2" a="1"/>
  <c r="S57" i="2" s="1"/>
  <c r="R57" i="2"/>
  <c r="P57" i="2"/>
  <c r="Q57" i="2" s="1"/>
  <c r="U56" i="2"/>
  <c r="T56" i="2"/>
  <c r="S56" i="2" a="1"/>
  <c r="S56" i="2" s="1"/>
  <c r="R56" i="2"/>
  <c r="P56" i="2"/>
  <c r="Q56" i="2" s="1"/>
  <c r="U55" i="2"/>
  <c r="T55" i="2"/>
  <c r="S55" i="2" a="1"/>
  <c r="S55" i="2" s="1"/>
  <c r="R55" i="2"/>
  <c r="P55" i="2"/>
  <c r="Q55" i="2" s="1"/>
  <c r="U54" i="2"/>
  <c r="T54" i="2"/>
  <c r="S54" i="2" a="1"/>
  <c r="S54" i="2" s="1"/>
  <c r="R54" i="2"/>
  <c r="P54" i="2"/>
  <c r="Q54" i="2" s="1"/>
  <c r="U53" i="2"/>
  <c r="T53" i="2"/>
  <c r="S53" i="2" a="1"/>
  <c r="S53" i="2" s="1"/>
  <c r="R53" i="2"/>
  <c r="P53" i="2"/>
  <c r="Q53" i="2" s="1"/>
  <c r="U52" i="2"/>
  <c r="T52" i="2"/>
  <c r="S52" i="2" a="1"/>
  <c r="S52" i="2" s="1"/>
  <c r="R52" i="2"/>
  <c r="P52" i="2"/>
  <c r="Q52" i="2" s="1"/>
  <c r="U51" i="2"/>
  <c r="T51" i="2"/>
  <c r="S51" i="2"/>
  <c r="S51" i="2" a="1"/>
  <c r="R51" i="2"/>
  <c r="P51" i="2"/>
  <c r="Q51" i="2" s="1"/>
  <c r="U50" i="2"/>
  <c r="T50" i="2"/>
  <c r="S50" i="2" a="1"/>
  <c r="S50" i="2" s="1"/>
  <c r="R50" i="2"/>
  <c r="Q50" i="2"/>
  <c r="P50" i="2"/>
  <c r="U49" i="2"/>
  <c r="T49" i="2"/>
  <c r="S49" i="2" a="1"/>
  <c r="S49" i="2" s="1"/>
  <c r="R49" i="2"/>
  <c r="P49" i="2"/>
  <c r="Q49" i="2" s="1"/>
  <c r="U48" i="2"/>
  <c r="T48" i="2"/>
  <c r="S48" i="2" a="1"/>
  <c r="S48" i="2" s="1"/>
  <c r="R48" i="2"/>
  <c r="P48" i="2"/>
  <c r="Q48" i="2" s="1"/>
  <c r="U47" i="2"/>
  <c r="T47" i="2"/>
  <c r="S47" i="2" a="1"/>
  <c r="S47" i="2" s="1"/>
  <c r="R47" i="2"/>
  <c r="P47" i="2"/>
  <c r="Q47" i="2" s="1"/>
  <c r="U46" i="2"/>
  <c r="T46" i="2"/>
  <c r="S46" i="2" a="1"/>
  <c r="S46" i="2" s="1"/>
  <c r="R46" i="2"/>
  <c r="P46" i="2"/>
  <c r="Q46" i="2" s="1"/>
  <c r="U45" i="2"/>
  <c r="T45" i="2"/>
  <c r="S45" i="2" a="1"/>
  <c r="S45" i="2" s="1"/>
  <c r="R45" i="2"/>
  <c r="P45" i="2"/>
  <c r="Q45" i="2" s="1"/>
  <c r="U44" i="2"/>
  <c r="T44" i="2"/>
  <c r="S44" i="2" a="1"/>
  <c r="S44" i="2" s="1"/>
  <c r="R44" i="2"/>
  <c r="P44" i="2"/>
  <c r="Q44" i="2" s="1"/>
  <c r="U43" i="2"/>
  <c r="T43" i="2"/>
  <c r="S43" i="2" a="1"/>
  <c r="S43" i="2" s="1"/>
  <c r="R43" i="2"/>
  <c r="P43" i="2"/>
  <c r="Q43" i="2" s="1"/>
  <c r="U42" i="2"/>
  <c r="T42" i="2"/>
  <c r="S42" i="2" a="1"/>
  <c r="S42" i="2" s="1"/>
  <c r="R42" i="2"/>
  <c r="P42" i="2"/>
  <c r="Q42" i="2" s="1"/>
  <c r="U41" i="2"/>
  <c r="T41" i="2"/>
  <c r="S41" i="2" a="1"/>
  <c r="S41" i="2" s="1"/>
  <c r="R41" i="2"/>
  <c r="P41" i="2"/>
  <c r="Q41" i="2" s="1"/>
  <c r="U40" i="2"/>
  <c r="T40" i="2"/>
  <c r="S40" i="2" a="1"/>
  <c r="S40" i="2" s="1"/>
  <c r="R40" i="2"/>
  <c r="P40" i="2"/>
  <c r="Q40" i="2" s="1"/>
  <c r="U39" i="2"/>
  <c r="T39" i="2"/>
  <c r="S39" i="2" a="1"/>
  <c r="S39" i="2" s="1"/>
  <c r="R39" i="2"/>
  <c r="P39" i="2"/>
  <c r="Q39" i="2" s="1"/>
  <c r="U38" i="2"/>
  <c r="T38" i="2"/>
  <c r="S38" i="2" a="1"/>
  <c r="S38" i="2" s="1"/>
  <c r="R38" i="2"/>
  <c r="P38" i="2"/>
  <c r="Q38" i="2" s="1"/>
  <c r="U37" i="2"/>
  <c r="T37" i="2"/>
  <c r="S37" i="2" a="1"/>
  <c r="S37" i="2" s="1"/>
  <c r="R37" i="2"/>
  <c r="P37" i="2"/>
  <c r="Q37" i="2" s="1"/>
  <c r="U36" i="2"/>
  <c r="T36" i="2"/>
  <c r="S36" i="2" a="1"/>
  <c r="S36" i="2" s="1"/>
  <c r="R36" i="2"/>
  <c r="P36" i="2"/>
  <c r="Q36" i="2" s="1"/>
  <c r="U35" i="2"/>
  <c r="T35" i="2"/>
  <c r="S35" i="2" a="1"/>
  <c r="S35" i="2" s="1"/>
  <c r="R35" i="2"/>
  <c r="P35" i="2"/>
  <c r="Q35" i="2" s="1"/>
  <c r="U34" i="2"/>
  <c r="T34" i="2"/>
  <c r="S34" i="2"/>
  <c r="S34" i="2" a="1"/>
  <c r="R34" i="2"/>
  <c r="P34" i="2"/>
  <c r="Q34" i="2" s="1"/>
  <c r="U33" i="2"/>
  <c r="T33" i="2"/>
  <c r="S33" i="2" a="1"/>
  <c r="S33" i="2" s="1"/>
  <c r="R33" i="2"/>
  <c r="P33" i="2"/>
  <c r="Q33" i="2" s="1"/>
  <c r="U32" i="2"/>
  <c r="T32" i="2"/>
  <c r="S32" i="2" a="1"/>
  <c r="S32" i="2" s="1"/>
  <c r="R32" i="2"/>
  <c r="P32" i="2"/>
  <c r="Q32" i="2" s="1"/>
  <c r="U31" i="2"/>
  <c r="T31" i="2"/>
  <c r="S31" i="2" a="1"/>
  <c r="S31" i="2" s="1"/>
  <c r="R31" i="2"/>
  <c r="P31" i="2"/>
  <c r="Q31" i="2" s="1"/>
  <c r="U30" i="2"/>
  <c r="T30" i="2"/>
  <c r="S30" i="2" a="1"/>
  <c r="S30" i="2" s="1"/>
  <c r="R30" i="2"/>
  <c r="P30" i="2"/>
  <c r="Q30" i="2" s="1"/>
  <c r="U29" i="2"/>
  <c r="T29" i="2"/>
  <c r="S29" i="2" a="1"/>
  <c r="S29" i="2" s="1"/>
  <c r="R29" i="2"/>
  <c r="P29" i="2"/>
  <c r="Q29" i="2" s="1"/>
  <c r="U28" i="2"/>
  <c r="T28" i="2"/>
  <c r="S28" i="2" a="1"/>
  <c r="S28" i="2" s="1"/>
  <c r="R28" i="2"/>
  <c r="P28" i="2"/>
  <c r="Q28" i="2" s="1"/>
  <c r="U27" i="2"/>
  <c r="T27" i="2"/>
  <c r="S27" i="2" a="1"/>
  <c r="S27" i="2" s="1"/>
  <c r="R27" i="2"/>
  <c r="P27" i="2"/>
  <c r="Q27" i="2" s="1"/>
  <c r="U26" i="2"/>
  <c r="T26" i="2"/>
  <c r="S26" i="2" a="1"/>
  <c r="S26" i="2" s="1"/>
  <c r="R26" i="2"/>
  <c r="P26" i="2"/>
  <c r="Q26" i="2" s="1"/>
  <c r="U25" i="2"/>
  <c r="T25" i="2"/>
  <c r="S25" i="2"/>
  <c r="S25" i="2" a="1"/>
  <c r="R25" i="2"/>
  <c r="P25" i="2"/>
  <c r="Q25" i="2" s="1"/>
  <c r="U24" i="2"/>
  <c r="T24" i="2"/>
  <c r="S24" i="2" a="1"/>
  <c r="S24" i="2" s="1"/>
  <c r="R24" i="2"/>
  <c r="P24" i="2"/>
  <c r="Q24" i="2" s="1"/>
  <c r="U23" i="2"/>
  <c r="T23" i="2"/>
  <c r="S23" i="2" a="1"/>
  <c r="S23" i="2" s="1"/>
  <c r="R23" i="2"/>
  <c r="P23" i="2"/>
  <c r="Q23" i="2" s="1"/>
  <c r="U22" i="2"/>
  <c r="T22" i="2"/>
  <c r="S22" i="2" a="1"/>
  <c r="S22" i="2" s="1"/>
  <c r="R22" i="2"/>
  <c r="P22" i="2"/>
  <c r="Q22" i="2" s="1"/>
  <c r="U21" i="2"/>
  <c r="T21" i="2"/>
  <c r="S21" i="2" a="1"/>
  <c r="S21" i="2" s="1"/>
  <c r="R21" i="2"/>
  <c r="P21" i="2"/>
  <c r="Q21" i="2" s="1"/>
  <c r="U20" i="2"/>
  <c r="T20" i="2"/>
  <c r="S20" i="2" a="1"/>
  <c r="S20" i="2" s="1"/>
  <c r="R20" i="2"/>
  <c r="P20" i="2"/>
  <c r="Q20" i="2" s="1"/>
  <c r="U19" i="2"/>
  <c r="T19" i="2"/>
  <c r="S19" i="2" a="1"/>
  <c r="S19" i="2" s="1"/>
  <c r="R19" i="2"/>
  <c r="P19" i="2"/>
  <c r="Q19" i="2" s="1"/>
  <c r="U18" i="2"/>
  <c r="T18" i="2"/>
  <c r="S18" i="2" a="1"/>
  <c r="S18" i="2" s="1"/>
  <c r="R18" i="2"/>
  <c r="P18" i="2"/>
  <c r="Q18" i="2" s="1"/>
  <c r="U17" i="2"/>
  <c r="T17" i="2"/>
  <c r="S17" i="2" a="1"/>
  <c r="S17" i="2" s="1"/>
  <c r="R17" i="2"/>
  <c r="P17" i="2"/>
  <c r="Q17" i="2" s="1"/>
  <c r="U16" i="2"/>
  <c r="T16" i="2"/>
  <c r="S16" i="2" a="1"/>
  <c r="S16" i="2" s="1"/>
  <c r="R16" i="2"/>
  <c r="P16" i="2"/>
  <c r="Q16" i="2" s="1"/>
  <c r="U15" i="2"/>
  <c r="T15" i="2"/>
  <c r="S15" i="2" a="1"/>
  <c r="S15" i="2" s="1"/>
  <c r="R15" i="2"/>
  <c r="P15" i="2"/>
  <c r="Q15" i="2" s="1"/>
  <c r="U14" i="2"/>
  <c r="T14" i="2"/>
  <c r="S14" i="2" a="1"/>
  <c r="S14" i="2" s="1"/>
  <c r="R14" i="2"/>
  <c r="P14" i="2"/>
  <c r="Q14" i="2" s="1"/>
  <c r="U13" i="2"/>
  <c r="T13" i="2"/>
  <c r="S13" i="2" a="1"/>
  <c r="S13" i="2" s="1"/>
  <c r="R13" i="2"/>
  <c r="P13" i="2"/>
  <c r="Q13" i="2" s="1"/>
  <c r="U12" i="2"/>
  <c r="T12" i="2"/>
  <c r="S12" i="2" a="1"/>
  <c r="S12" i="2" s="1"/>
  <c r="R12" i="2"/>
  <c r="P12" i="2"/>
  <c r="Q12" i="2" s="1"/>
  <c r="U11" i="2"/>
  <c r="T11" i="2"/>
  <c r="S11" i="2"/>
  <c r="S11" i="2" a="1"/>
  <c r="R11" i="2"/>
  <c r="P11" i="2"/>
  <c r="Q11" i="2" s="1"/>
  <c r="U10" i="2"/>
  <c r="T10" i="2"/>
  <c r="S10" i="2" a="1"/>
  <c r="S10" i="2" s="1"/>
  <c r="R10" i="2"/>
  <c r="Q10" i="2"/>
  <c r="P10" i="2"/>
  <c r="U9" i="2"/>
  <c r="T9" i="2"/>
  <c r="S9" i="2" a="1"/>
  <c r="S9" i="2" s="1"/>
  <c r="R9" i="2"/>
  <c r="P9" i="2"/>
  <c r="Q9" i="2" s="1"/>
  <c r="U8" i="2"/>
  <c r="T8" i="2"/>
  <c r="S8" i="2" a="1"/>
  <c r="S8" i="2" s="1"/>
  <c r="R8" i="2"/>
  <c r="P8" i="2"/>
  <c r="Q8" i="2" s="1"/>
  <c r="U7" i="2"/>
  <c r="T7" i="2"/>
  <c r="S7" i="2" a="1"/>
  <c r="S7" i="2" s="1"/>
  <c r="R7" i="2"/>
  <c r="P7" i="2"/>
  <c r="Q7" i="2" s="1"/>
  <c r="U6" i="2"/>
  <c r="T6" i="2"/>
  <c r="S6" i="2" a="1"/>
  <c r="S6" i="2" s="1"/>
  <c r="R6" i="2"/>
  <c r="P6" i="2"/>
  <c r="Q6" i="2" s="1"/>
  <c r="U5" i="2"/>
  <c r="T5" i="2"/>
  <c r="S5" i="2" a="1"/>
  <c r="S5" i="2" s="1"/>
  <c r="R5" i="2"/>
  <c r="P5" i="2"/>
  <c r="Q5" i="2" s="1"/>
  <c r="U4" i="2"/>
  <c r="T4" i="2"/>
  <c r="S4" i="2" a="1"/>
  <c r="S4" i="2" s="1"/>
  <c r="R4" i="2"/>
  <c r="P4" i="2"/>
  <c r="Q4" i="2" s="1"/>
  <c r="U3" i="2"/>
  <c r="T3" i="2"/>
  <c r="S3" i="2" a="1"/>
  <c r="S3" i="2" s="1"/>
  <c r="R3" i="2"/>
  <c r="P3" i="2"/>
  <c r="Q3" i="2" s="1"/>
  <c r="U2" i="2"/>
  <c r="T2" i="2"/>
  <c r="S2" i="2" a="1"/>
  <c r="S2" i="2" s="1"/>
  <c r="R2" i="2"/>
  <c r="P2" i="2"/>
  <c r="Q2" i="2" s="1"/>
  <c r="Y10" i="1" a="1"/>
  <c r="Y10" i="1" s="1"/>
  <c r="U50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X8" i="1"/>
  <c r="Y6" i="1"/>
  <c r="X4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 a="1"/>
  <c r="S3" i="1"/>
  <c r="S4" i="1" a="1"/>
  <c r="S4" i="1" s="1"/>
  <c r="S5" i="1" a="1"/>
  <c r="S5" i="1" s="1"/>
  <c r="S6" i="1" a="1"/>
  <c r="S6" i="1" s="1"/>
  <c r="S7" i="1" a="1"/>
  <c r="S7" i="1"/>
  <c r="S8" i="1" a="1"/>
  <c r="S8" i="1" s="1"/>
  <c r="S9" i="1" a="1"/>
  <c r="S9" i="1"/>
  <c r="S10" i="1" a="1"/>
  <c r="S10" i="1" s="1"/>
  <c r="S11" i="1" a="1"/>
  <c r="S11" i="1" s="1"/>
  <c r="S12" i="1" a="1"/>
  <c r="S12" i="1" s="1"/>
  <c r="S13" i="1" a="1"/>
  <c r="S13" i="1"/>
  <c r="S14" i="1" a="1"/>
  <c r="S14" i="1" s="1"/>
  <c r="S15" i="1" a="1"/>
  <c r="S15" i="1"/>
  <c r="S16" i="1" a="1"/>
  <c r="S16" i="1" s="1"/>
  <c r="S17" i="1" a="1"/>
  <c r="S17" i="1" s="1"/>
  <c r="S18" i="1" a="1"/>
  <c r="S18" i="1" s="1"/>
  <c r="S19" i="1" a="1"/>
  <c r="S19" i="1"/>
  <c r="S20" i="1" a="1"/>
  <c r="S20" i="1" s="1"/>
  <c r="S21" i="1" a="1"/>
  <c r="S21" i="1"/>
  <c r="S22" i="1" a="1"/>
  <c r="S22" i="1" s="1"/>
  <c r="S23" i="1" a="1"/>
  <c r="S23" i="1" s="1"/>
  <c r="S24" i="1" a="1"/>
  <c r="S24" i="1" s="1"/>
  <c r="S25" i="1" a="1"/>
  <c r="S25" i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/>
  <c r="S32" i="1" a="1"/>
  <c r="S32" i="1" s="1"/>
  <c r="S33" i="1" a="1"/>
  <c r="S33" i="1"/>
  <c r="S34" i="1" a="1"/>
  <c r="S34" i="1" s="1"/>
  <c r="S35" i="1" a="1"/>
  <c r="S35" i="1" s="1"/>
  <c r="S36" i="1" a="1"/>
  <c r="S36" i="1" s="1"/>
  <c r="S37" i="1" a="1"/>
  <c r="S37" i="1"/>
  <c r="S38" i="1" a="1"/>
  <c r="S38" i="1" s="1"/>
  <c r="S39" i="1" a="1"/>
  <c r="S39" i="1"/>
  <c r="S40" i="1" a="1"/>
  <c r="S40" i="1" s="1"/>
  <c r="S41" i="1" a="1"/>
  <c r="S41" i="1" s="1"/>
  <c r="S42" i="1" a="1"/>
  <c r="S42" i="1" s="1"/>
  <c r="S43" i="1" a="1"/>
  <c r="S43" i="1"/>
  <c r="S44" i="1" a="1"/>
  <c r="S44" i="1" s="1"/>
  <c r="S45" i="1" a="1"/>
  <c r="S45" i="1"/>
  <c r="S46" i="1" a="1"/>
  <c r="S46" i="1" s="1"/>
  <c r="S47" i="1" a="1"/>
  <c r="S47" i="1" s="1"/>
  <c r="S48" i="1" a="1"/>
  <c r="S48" i="1" s="1"/>
  <c r="S49" i="1" a="1"/>
  <c r="S49" i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/>
  <c r="S56" i="1" a="1"/>
  <c r="S56" i="1" s="1"/>
  <c r="S57" i="1" a="1"/>
  <c r="S57" i="1"/>
  <c r="S58" i="1" a="1"/>
  <c r="S58" i="1" s="1"/>
  <c r="S59" i="1" a="1"/>
  <c r="S59" i="1" s="1"/>
  <c r="S60" i="1" a="1"/>
  <c r="S60" i="1" s="1"/>
  <c r="S61" i="1" a="1"/>
  <c r="S61" i="1"/>
  <c r="S62" i="1" a="1"/>
  <c r="S62" i="1" s="1"/>
  <c r="S63" i="1" a="1"/>
  <c r="S63" i="1"/>
  <c r="S64" i="1" a="1"/>
  <c r="S64" i="1" s="1"/>
  <c r="S65" i="1" a="1"/>
  <c r="S65" i="1" s="1"/>
  <c r="S66" i="1" a="1"/>
  <c r="S66" i="1" s="1"/>
  <c r="S67" i="1" a="1"/>
  <c r="S67" i="1"/>
  <c r="S68" i="1" a="1"/>
  <c r="S68" i="1" s="1"/>
  <c r="S69" i="1" a="1"/>
  <c r="S69" i="1"/>
  <c r="S70" i="1" a="1"/>
  <c r="S70" i="1" s="1"/>
  <c r="S71" i="1" a="1"/>
  <c r="S71" i="1" s="1"/>
  <c r="S72" i="1" a="1"/>
  <c r="S72" i="1" s="1"/>
  <c r="S73" i="1" a="1"/>
  <c r="S73" i="1"/>
  <c r="S74" i="1" a="1"/>
  <c r="S74" i="1" s="1"/>
  <c r="S75" i="1" a="1"/>
  <c r="S75" i="1"/>
  <c r="S76" i="1" a="1"/>
  <c r="S76" i="1" s="1"/>
  <c r="S77" i="1" a="1"/>
  <c r="S77" i="1" s="1"/>
  <c r="S78" i="1" a="1"/>
  <c r="S78" i="1" s="1"/>
  <c r="S79" i="1" a="1"/>
  <c r="S79" i="1"/>
  <c r="S80" i="1" a="1"/>
  <c r="S80" i="1" s="1"/>
  <c r="S81" i="1" a="1"/>
  <c r="S81" i="1"/>
  <c r="S82" i="1" a="1"/>
  <c r="S82" i="1" s="1"/>
  <c r="S83" i="1" a="1"/>
  <c r="S83" i="1" s="1"/>
  <c r="S84" i="1" a="1"/>
  <c r="S84" i="1" s="1"/>
  <c r="S85" i="1" a="1"/>
  <c r="S85" i="1"/>
  <c r="S86" i="1" a="1"/>
  <c r="S86" i="1" s="1"/>
  <c r="S87" i="1" a="1"/>
  <c r="S87" i="1"/>
  <c r="S88" i="1" a="1"/>
  <c r="S88" i="1" s="1"/>
  <c r="S89" i="1" a="1"/>
  <c r="S89" i="1" s="1"/>
  <c r="S90" i="1" a="1"/>
  <c r="S90" i="1" s="1"/>
  <c r="S91" i="1" a="1"/>
  <c r="S91" i="1"/>
  <c r="S92" i="1" a="1"/>
  <c r="S92" i="1" s="1"/>
  <c r="S93" i="1" a="1"/>
  <c r="S93" i="1"/>
  <c r="S94" i="1" a="1"/>
  <c r="S94" i="1" s="1"/>
  <c r="S95" i="1" a="1"/>
  <c r="S95" i="1" s="1"/>
  <c r="S96" i="1" a="1"/>
  <c r="S96" i="1" s="1"/>
  <c r="S97" i="1" a="1"/>
  <c r="S97" i="1"/>
  <c r="S98" i="1" a="1"/>
  <c r="S98" i="1" s="1"/>
  <c r="S99" i="1" a="1"/>
  <c r="S99" i="1"/>
  <c r="S100" i="1" a="1"/>
  <c r="S100" i="1" s="1"/>
  <c r="S101" i="1" a="1"/>
  <c r="S101" i="1" s="1"/>
  <c r="S102" i="1" a="1"/>
  <c r="S102" i="1" s="1"/>
  <c r="S103" i="1" a="1"/>
  <c r="S103" i="1"/>
  <c r="S104" i="1" a="1"/>
  <c r="S104" i="1" s="1"/>
  <c r="S105" i="1" a="1"/>
  <c r="S105" i="1"/>
  <c r="S106" i="1" a="1"/>
  <c r="S106" i="1" s="1"/>
  <c r="S107" i="1" a="1"/>
  <c r="S107" i="1" s="1"/>
  <c r="S108" i="1" a="1"/>
  <c r="S108" i="1" s="1"/>
  <c r="S109" i="1" a="1"/>
  <c r="S109" i="1"/>
  <c r="S110" i="1" a="1"/>
  <c r="S110" i="1" s="1"/>
  <c r="S111" i="1" a="1"/>
  <c r="S111" i="1"/>
  <c r="S112" i="1" a="1"/>
  <c r="S112" i="1" s="1"/>
  <c r="S113" i="1" a="1"/>
  <c r="S113" i="1" s="1"/>
  <c r="S114" i="1" a="1"/>
  <c r="S114" i="1" s="1"/>
  <c r="S115" i="1" a="1"/>
  <c r="S115" i="1"/>
  <c r="S116" i="1" a="1"/>
  <c r="S116" i="1" s="1"/>
  <c r="S117" i="1" a="1"/>
  <c r="S117" i="1"/>
  <c r="S118" i="1" a="1"/>
  <c r="S118" i="1" s="1"/>
  <c r="S119" i="1" a="1"/>
  <c r="S119" i="1" s="1"/>
  <c r="S120" i="1" a="1"/>
  <c r="S120" i="1" s="1"/>
  <c r="S121" i="1" a="1"/>
  <c r="S121" i="1"/>
  <c r="S122" i="1" a="1"/>
  <c r="S122" i="1" s="1"/>
  <c r="S123" i="1" a="1"/>
  <c r="S123" i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2" i="1" a="1"/>
  <c r="S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U502" i="2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<sst xmlns="http://schemas.openxmlformats.org/spreadsheetml/2006/main" count="12827" uniqueCount="90">
  <si>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</si>
  <si>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</si>
  <si>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</si>
  <si>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</si>
  <si>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</si>
  <si>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</si>
  <si>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</si>
  <si>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</si>
  <si>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</si>
  <si>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</si>
  <si>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</si>
  <si>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</si>
  <si>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</si>
  <si>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</si>
  <si>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</si>
  <si>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</si>
  <si>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</si>
  <si>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</si>
  <si>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</si>
  <si>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</si>
  <si>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</si>
  <si>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</si>
  <si>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</si>
  <si>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</si>
  <si>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</si>
  <si>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</si>
  <si>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</si>
  <si>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</si>
  <si>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</si>
  <si>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</si>
  <si>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</si>
  <si>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</si>
  <si>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</si>
  <si>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</si>
  <si>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</si>
  <si>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</si>
  <si>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</si>
  <si>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</si>
  <si>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</si>
  <si>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</si>
  <si>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</si>
  <si>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</si>
  <si>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</si>
  <si>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</si>
  <si>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</si>
  <si>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</si>
  <si>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</si>
  <si>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</si>
  <si>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</si>
  <si>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</si>
  <si>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</si>
  <si>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</si>
  <si>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</si>
  <si>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</si>
  <si>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</si>
  <si>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</si>
  <si>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</si>
  <si>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</si>
  <si>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</si>
  <si>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</si>
  <si>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</si>
  <si>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</si>
  <si>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</si>
  <si>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</si>
  <si>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</si>
  <si>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</si>
  <si>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</si>
  <si>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</si>
  <si>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</si>
  <si>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</si>
  <si>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 amount</t>
  </si>
  <si>
    <t>price after discount</t>
  </si>
  <si>
    <t>sell_status</t>
  </si>
  <si>
    <t>self_status1</t>
  </si>
  <si>
    <t>self_status2</t>
  </si>
  <si>
    <t>Total unit solds</t>
  </si>
  <si>
    <t>BrandA total unit sold</t>
  </si>
  <si>
    <t>Unit sold for</t>
  </si>
  <si>
    <t>GRAND TOTAL</t>
  </si>
  <si>
    <t>Total price</t>
  </si>
  <si>
    <t>GRAND TOTAL FOR</t>
  </si>
  <si>
    <t>city</t>
  </si>
  <si>
    <t xml:space="preserve">Brand </t>
  </si>
  <si>
    <t>total unit sold</t>
  </si>
  <si>
    <t>high</t>
  </si>
  <si>
    <t>medium</t>
  </si>
  <si>
    <t>low</t>
  </si>
  <si>
    <t>oder id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</si>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</sst>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3" fillId="2" borderId="4" xfId="2" applyFill="1" applyBorder="1"/>
    <xf numFmtId="0" fontId="3" fillId="4" borderId="4" xfId="2" applyFill="1" applyBorder="1"/>
    <xf numFmtId="0" fontId="3" fillId="2" borderId="5" xfId="2" applyFill="1" applyBorder="1"/>
    <xf numFmtId="0" fontId="0" fillId="0" borderId="4" xfId="0" applyBorder="1"/>
    <xf numFmtId="0" fontId="2" fillId="2" borderId="5" xfId="1" applyFill="1" applyBorder="1"/>
    <xf numFmtId="0" fontId="1" fillId="0" borderId="6" xfId="0" applyFont="1" applyBorder="1"/>
    <xf numFmtId="0" fontId="0" fillId="0" borderId="6" xfId="0" applyBorder="1"/>
    <xf numFmtId="0" fontId="0" fillId="0" borderId="5" xfId="0" applyBorder="1"/>
    <xf numFmtId="0" fontId="3" fillId="2" borderId="7" xfId="2" applyFill="1" applyBorder="1"/>
    <xf numFmtId="0" fontId="3" fillId="3" borderId="4" xfId="2" applyFill="1" applyBorder="1" applyAlignment="1">
      <alignment horizontal="center"/>
    </xf>
    <xf numFmtId="0" fontId="2" fillId="3" borderId="4" xfId="1" applyFill="1" applyBorder="1" applyAlignment="1">
      <alignment horizontal="center"/>
    </xf>
    <xf numFmtId="0" fontId="2" fillId="3" borderId="5" xfId="1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3" borderId="8" xfId="1" applyFill="1" applyBorder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B502"/>
  <sheetViews>
    <sheetView topLeftCell="K464" zoomScale="79" workbookViewId="0">
      <selection sqref="A1:O501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15.44140625" bestFit="1" customWidth="1"/>
    <col min="17" max="17" width="17.44140625" bestFit="1" customWidth="1"/>
    <col min="18" max="18" width="9.6640625" bestFit="1" customWidth="1"/>
    <col min="19" max="19" width="10.88671875" bestFit="1" customWidth="1"/>
    <col min="20" max="20" width="10.77734375" bestFit="1" customWidth="1"/>
    <col min="21" max="21" width="9.77734375" bestFit="1" customWidth="1"/>
    <col min="23" max="23" width="24.109375" bestFit="1" customWidth="1"/>
    <col min="24" max="24" width="15.77734375" bestFit="1" customWidth="1"/>
    <col min="25" max="25" width="14.33203125" bestFit="1" customWidth="1"/>
  </cols>
  <sheetData>
    <row r="1" spans="1:28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9" t="s">
        <v>74</v>
      </c>
      <c r="U1" s="3" t="s">
        <v>79</v>
      </c>
      <c r="W1" s="7"/>
      <c r="X1" s="7"/>
      <c r="Y1" s="7"/>
      <c r="AA1" s="3" t="s">
        <v>10</v>
      </c>
      <c r="AB1" s="1" t="s">
        <v>15</v>
      </c>
    </row>
    <row r="2" spans="1:28" ht="18" thickBot="1" x14ac:dyDescent="0.4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10" t="str">
        <f>IF(L2&gt;5,"high",IF(L2=5,"medium","low"))</f>
        <v>high</v>
      </c>
      <c r="U2" s="1">
        <f>L2*M2</f>
        <v>19907.09</v>
      </c>
      <c r="W2" s="5" t="s">
        <v>75</v>
      </c>
      <c r="X2" s="13">
        <f>SUM(L2:L501)</f>
        <v>2553</v>
      </c>
      <c r="Y2" s="7"/>
      <c r="AA2" s="1" t="s">
        <v>21</v>
      </c>
      <c r="AB2" s="1" t="s">
        <v>22</v>
      </c>
    </row>
    <row r="3" spans="1:28" ht="15" thickBot="1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10" t="str">
        <f t="shared" ref="T3:T66" si="3">IF(L3&gt;5,"high",IF(L3=5,"medium","low"))</f>
        <v>high</v>
      </c>
      <c r="U3" s="1">
        <f t="shared" ref="U3:U66" si="4">L3*M3</f>
        <v>22727.07</v>
      </c>
      <c r="W3" s="7"/>
      <c r="X3" s="7"/>
      <c r="Y3" s="7"/>
      <c r="AA3" s="1" t="s">
        <v>28</v>
      </c>
      <c r="AB3" s="1" t="s">
        <v>15</v>
      </c>
    </row>
    <row r="4" spans="1:28" ht="20.399999999999999" thickBot="1" x14ac:dyDescent="0.45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10" t="str">
        <f t="shared" si="3"/>
        <v>high</v>
      </c>
      <c r="U4" s="1">
        <f t="shared" si="4"/>
        <v>20846.04</v>
      </c>
      <c r="W4" s="4" t="s">
        <v>76</v>
      </c>
      <c r="X4" s="14">
        <f>SUMIF(K2:K501,"BrandA",L2:L501)</f>
        <v>511</v>
      </c>
      <c r="Y4" s="7"/>
      <c r="AA4" s="1" t="s">
        <v>33</v>
      </c>
      <c r="AB4" s="1" t="s">
        <v>34</v>
      </c>
    </row>
    <row r="5" spans="1:28" ht="15" thickBot="1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10" t="str">
        <f t="shared" si="3"/>
        <v>low</v>
      </c>
      <c r="U5" s="1">
        <f t="shared" si="4"/>
        <v>1008.79</v>
      </c>
      <c r="W5" s="7"/>
      <c r="X5" s="7"/>
      <c r="Y5" s="7"/>
      <c r="AA5" s="1" t="s">
        <v>45</v>
      </c>
      <c r="AB5" s="1" t="s">
        <v>37</v>
      </c>
    </row>
    <row r="6" spans="1:28" ht="20.399999999999999" thickBot="1" x14ac:dyDescent="0.45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10" t="str">
        <f t="shared" si="3"/>
        <v>high</v>
      </c>
      <c r="U6" s="1">
        <f t="shared" si="4"/>
        <v>24580.289999999997</v>
      </c>
      <c r="W6" s="8" t="s">
        <v>77</v>
      </c>
      <c r="X6" s="15" t="s">
        <v>21</v>
      </c>
      <c r="Y6" s="15">
        <f>SUMIF(K1:K501,X6,L1:L501)</f>
        <v>511</v>
      </c>
      <c r="AA6" s="1" t="s">
        <v>47</v>
      </c>
      <c r="AB6" s="1" t="s">
        <v>40</v>
      </c>
    </row>
    <row r="7" spans="1:28" ht="15" thickBot="1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10" t="str">
        <f t="shared" si="3"/>
        <v>low</v>
      </c>
      <c r="U7" s="1">
        <f t="shared" si="4"/>
        <v>9568.6500000000015</v>
      </c>
      <c r="W7" s="7"/>
      <c r="X7" s="7"/>
      <c r="Y7" s="7"/>
      <c r="AB7" s="1" t="s">
        <v>34</v>
      </c>
    </row>
    <row r="8" spans="1:28" ht="19.8" x14ac:dyDescent="0.4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10" t="str">
        <f t="shared" si="3"/>
        <v>medium</v>
      </c>
      <c r="U8" s="1">
        <f t="shared" si="4"/>
        <v>15152.1</v>
      </c>
      <c r="W8" s="6" t="s">
        <v>78</v>
      </c>
      <c r="X8" s="15">
        <f>SUMPRODUCT(L1:L501,M1:M501)</f>
        <v>5134263.8099999949</v>
      </c>
      <c r="Y8" s="11"/>
      <c r="AB8" s="1" t="s">
        <v>46</v>
      </c>
    </row>
    <row r="9" spans="1:28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10" t="str">
        <f t="shared" si="3"/>
        <v>low</v>
      </c>
      <c r="U9" s="1">
        <f t="shared" si="4"/>
        <v>9243.32</v>
      </c>
      <c r="W9" s="1"/>
      <c r="X9" s="1"/>
      <c r="Y9" s="1"/>
      <c r="AB9" s="1" t="s">
        <v>15</v>
      </c>
    </row>
    <row r="10" spans="1:28" ht="20.399999999999999" thickBot="1" x14ac:dyDescent="0.45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10" t="str">
        <f t="shared" si="3"/>
        <v>medium</v>
      </c>
      <c r="U10" s="1">
        <f t="shared" si="4"/>
        <v>5490.2</v>
      </c>
      <c r="W10" s="12" t="s">
        <v>80</v>
      </c>
      <c r="X10" s="16" t="s">
        <v>28</v>
      </c>
      <c r="Y10" s="17" cm="1">
        <f t="array" ref="Y10">SUMPRODUCT(L1:L501,M1:M501,--(K1:K501=X10))</f>
        <v>857002.84000000008</v>
      </c>
      <c r="AB10" s="1" t="s">
        <v>16</v>
      </c>
    </row>
    <row r="11" spans="1:28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10" t="str">
        <f t="shared" si="3"/>
        <v>medium</v>
      </c>
      <c r="U11" s="1">
        <f t="shared" si="4"/>
        <v>8903.3000000000011</v>
      </c>
      <c r="AB11" s="1" t="s">
        <v>37</v>
      </c>
    </row>
    <row r="12" spans="1:28" ht="15" thickBot="1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10" t="str">
        <f t="shared" si="3"/>
        <v>high</v>
      </c>
      <c r="U12" s="1">
        <f t="shared" si="4"/>
        <v>19231.5</v>
      </c>
      <c r="W12" t="s">
        <v>81</v>
      </c>
      <c r="X12" t="s">
        <v>82</v>
      </c>
      <c r="Y12" t="s">
        <v>83</v>
      </c>
      <c r="AB12" s="1" t="s">
        <v>40</v>
      </c>
    </row>
    <row r="13" spans="1:28" ht="19.8" x14ac:dyDescent="0.4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10" t="str">
        <f t="shared" si="3"/>
        <v>high</v>
      </c>
      <c r="U13" s="1">
        <f t="shared" si="4"/>
        <v>1634.1000000000001</v>
      </c>
      <c r="W13" t="s">
        <v>34</v>
      </c>
      <c r="X13" s="15" t="s">
        <v>21</v>
      </c>
      <c r="AB13" s="1" t="s">
        <v>22</v>
      </c>
    </row>
    <row r="14" spans="1:28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10" t="str">
        <f t="shared" si="3"/>
        <v>high</v>
      </c>
      <c r="U14" s="1">
        <f t="shared" si="4"/>
        <v>25287.200000000001</v>
      </c>
    </row>
    <row r="15" spans="1:28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10" t="str">
        <f t="shared" si="3"/>
        <v>high</v>
      </c>
      <c r="U15" s="1">
        <f t="shared" si="4"/>
        <v>8594.16</v>
      </c>
    </row>
    <row r="16" spans="1:28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10" t="str">
        <f t="shared" si="3"/>
        <v>high</v>
      </c>
      <c r="U16" s="1">
        <f t="shared" si="4"/>
        <v>6350.31</v>
      </c>
    </row>
    <row r="17" spans="1:21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10" t="str">
        <f t="shared" si="3"/>
        <v>high</v>
      </c>
      <c r="U17" s="1">
        <f t="shared" si="4"/>
        <v>4763.6000000000004</v>
      </c>
    </row>
    <row r="18" spans="1:21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10" t="str">
        <f t="shared" si="3"/>
        <v>low</v>
      </c>
      <c r="U18" s="1">
        <f t="shared" si="4"/>
        <v>509.82</v>
      </c>
    </row>
    <row r="19" spans="1:21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10" t="str">
        <f t="shared" si="3"/>
        <v>low</v>
      </c>
      <c r="U19" s="1">
        <f t="shared" si="4"/>
        <v>2165.81</v>
      </c>
    </row>
    <row r="20" spans="1:21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10" t="str">
        <f t="shared" si="3"/>
        <v>low</v>
      </c>
      <c r="U20" s="1">
        <f t="shared" si="4"/>
        <v>1980.6</v>
      </c>
    </row>
    <row r="21" spans="1:21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10" t="str">
        <f t="shared" si="3"/>
        <v>low</v>
      </c>
      <c r="U21" s="1">
        <f t="shared" si="4"/>
        <v>7918.62</v>
      </c>
    </row>
    <row r="22" spans="1:21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10" t="str">
        <f t="shared" si="3"/>
        <v>low</v>
      </c>
      <c r="U22" s="1">
        <f t="shared" si="4"/>
        <v>7084.74</v>
      </c>
    </row>
    <row r="23" spans="1:21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10" t="str">
        <f t="shared" si="3"/>
        <v>high</v>
      </c>
      <c r="U23" s="1">
        <f t="shared" si="4"/>
        <v>4766.0200000000004</v>
      </c>
    </row>
    <row r="24" spans="1:21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10" t="str">
        <f t="shared" si="3"/>
        <v>low</v>
      </c>
      <c r="U24" s="1">
        <f t="shared" si="4"/>
        <v>5603.48</v>
      </c>
    </row>
    <row r="25" spans="1:21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10" t="str">
        <f t="shared" si="3"/>
        <v>low</v>
      </c>
      <c r="U25" s="1">
        <f t="shared" si="4"/>
        <v>3606.31</v>
      </c>
    </row>
    <row r="26" spans="1:21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10" t="str">
        <f t="shared" si="3"/>
        <v>high</v>
      </c>
      <c r="U26" s="1">
        <f t="shared" si="4"/>
        <v>18113.64</v>
      </c>
    </row>
    <row r="27" spans="1:21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10" t="str">
        <f t="shared" si="3"/>
        <v>high</v>
      </c>
      <c r="U27" s="1">
        <f t="shared" si="4"/>
        <v>3998.61</v>
      </c>
    </row>
    <row r="28" spans="1:21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10" t="str">
        <f t="shared" si="3"/>
        <v>low</v>
      </c>
      <c r="U28" s="1">
        <f t="shared" si="4"/>
        <v>10797.45</v>
      </c>
    </row>
    <row r="29" spans="1:21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10" t="str">
        <f t="shared" si="3"/>
        <v>high</v>
      </c>
      <c r="U29" s="1">
        <f t="shared" si="4"/>
        <v>19239.78</v>
      </c>
    </row>
    <row r="30" spans="1:21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10" t="str">
        <f t="shared" si="3"/>
        <v>low</v>
      </c>
      <c r="U30" s="1">
        <f t="shared" si="4"/>
        <v>2278.41</v>
      </c>
    </row>
    <row r="31" spans="1:21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10" t="str">
        <f t="shared" si="3"/>
        <v>low</v>
      </c>
      <c r="U31" s="1">
        <f t="shared" si="4"/>
        <v>349.38</v>
      </c>
    </row>
    <row r="32" spans="1:21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10" t="str">
        <f t="shared" si="3"/>
        <v>medium</v>
      </c>
      <c r="U32" s="1">
        <f t="shared" si="4"/>
        <v>11478.25</v>
      </c>
    </row>
    <row r="33" spans="1:21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10" t="str">
        <f t="shared" si="3"/>
        <v>low</v>
      </c>
      <c r="U33" s="1">
        <f t="shared" si="4"/>
        <v>3002.96</v>
      </c>
    </row>
    <row r="34" spans="1:21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10" t="str">
        <f t="shared" si="3"/>
        <v>high</v>
      </c>
      <c r="U34" s="1">
        <f t="shared" si="4"/>
        <v>23542.26</v>
      </c>
    </row>
    <row r="35" spans="1:21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10" t="str">
        <f t="shared" si="3"/>
        <v>high</v>
      </c>
      <c r="U35" s="1">
        <f t="shared" si="4"/>
        <v>9177.5399999999991</v>
      </c>
    </row>
    <row r="36" spans="1:21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10" t="str">
        <f t="shared" si="3"/>
        <v>high</v>
      </c>
      <c r="U36" s="1">
        <f t="shared" si="4"/>
        <v>25652.48</v>
      </c>
    </row>
    <row r="37" spans="1:21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10" t="str">
        <f t="shared" si="3"/>
        <v>medium</v>
      </c>
      <c r="U37" s="1">
        <f t="shared" si="4"/>
        <v>11639.5</v>
      </c>
    </row>
    <row r="38" spans="1:21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10" t="str">
        <f t="shared" si="3"/>
        <v>low</v>
      </c>
      <c r="U38" s="1">
        <f t="shared" si="4"/>
        <v>3413.16</v>
      </c>
    </row>
    <row r="39" spans="1:21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10" t="str">
        <f t="shared" si="3"/>
        <v>high</v>
      </c>
      <c r="U39" s="1">
        <f t="shared" si="4"/>
        <v>4812.22</v>
      </c>
    </row>
    <row r="40" spans="1:21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10" t="str">
        <f t="shared" si="3"/>
        <v>high</v>
      </c>
      <c r="U40" s="1">
        <f t="shared" si="4"/>
        <v>16585.940000000002</v>
      </c>
    </row>
    <row r="41" spans="1:21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10" t="str">
        <f t="shared" si="3"/>
        <v>high</v>
      </c>
      <c r="U41" s="1">
        <f t="shared" si="4"/>
        <v>18499.5</v>
      </c>
    </row>
    <row r="42" spans="1:21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10" t="str">
        <f t="shared" si="3"/>
        <v>high</v>
      </c>
      <c r="U42" s="1">
        <f t="shared" si="4"/>
        <v>25270.400000000001</v>
      </c>
    </row>
    <row r="43" spans="1:21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10" t="str">
        <f t="shared" si="3"/>
        <v>low</v>
      </c>
      <c r="U43" s="1">
        <f t="shared" si="4"/>
        <v>4846.68</v>
      </c>
    </row>
    <row r="44" spans="1:21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10" t="str">
        <f t="shared" si="3"/>
        <v>medium</v>
      </c>
      <c r="U44" s="1">
        <f t="shared" si="4"/>
        <v>4681.75</v>
      </c>
    </row>
    <row r="45" spans="1:21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10" t="str">
        <f t="shared" si="3"/>
        <v>low</v>
      </c>
      <c r="U45" s="1">
        <f t="shared" si="4"/>
        <v>858.04</v>
      </c>
    </row>
    <row r="46" spans="1:21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10" t="str">
        <f t="shared" si="3"/>
        <v>low</v>
      </c>
      <c r="U46" s="1">
        <f t="shared" si="4"/>
        <v>2764.92</v>
      </c>
    </row>
    <row r="47" spans="1:21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10" t="str">
        <f t="shared" si="3"/>
        <v>high</v>
      </c>
      <c r="U47" s="1">
        <f t="shared" si="4"/>
        <v>3558.32</v>
      </c>
    </row>
    <row r="48" spans="1:21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10" t="str">
        <f t="shared" si="3"/>
        <v>low</v>
      </c>
      <c r="U48" s="1">
        <f t="shared" si="4"/>
        <v>1769.93</v>
      </c>
    </row>
    <row r="49" spans="1:21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10" t="str">
        <f t="shared" si="3"/>
        <v>medium</v>
      </c>
      <c r="U49" s="1">
        <f t="shared" si="4"/>
        <v>12332.4</v>
      </c>
    </row>
    <row r="50" spans="1:21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10" t="str">
        <f t="shared" si="3"/>
        <v>high</v>
      </c>
      <c r="U50" s="1">
        <f t="shared" si="4"/>
        <v>22547.22</v>
      </c>
    </row>
    <row r="51" spans="1:21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10" t="str">
        <f t="shared" si="3"/>
        <v>high</v>
      </c>
      <c r="U51" s="1">
        <f t="shared" si="4"/>
        <v>8102.64</v>
      </c>
    </row>
    <row r="52" spans="1:21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10" t="str">
        <f t="shared" si="3"/>
        <v>medium</v>
      </c>
      <c r="U52" s="1">
        <f t="shared" si="4"/>
        <v>5558.0999999999995</v>
      </c>
    </row>
    <row r="53" spans="1:21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10" t="str">
        <f t="shared" si="3"/>
        <v>low</v>
      </c>
      <c r="U53" s="1">
        <f t="shared" si="4"/>
        <v>8005.5599999999995</v>
      </c>
    </row>
    <row r="54" spans="1:21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10" t="str">
        <f t="shared" si="3"/>
        <v>medium</v>
      </c>
      <c r="U54" s="1">
        <f t="shared" si="4"/>
        <v>12670.35</v>
      </c>
    </row>
    <row r="55" spans="1:21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10" t="str">
        <f t="shared" si="3"/>
        <v>high</v>
      </c>
      <c r="U55" s="1">
        <f t="shared" si="4"/>
        <v>11428.96</v>
      </c>
    </row>
    <row r="56" spans="1:21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10" t="str">
        <f t="shared" si="3"/>
        <v>low</v>
      </c>
      <c r="U56" s="1">
        <f t="shared" si="4"/>
        <v>7446.38</v>
      </c>
    </row>
    <row r="57" spans="1:21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10" t="str">
        <f t="shared" si="3"/>
        <v>high</v>
      </c>
      <c r="U57" s="1">
        <f t="shared" si="4"/>
        <v>20416.32</v>
      </c>
    </row>
    <row r="58" spans="1:21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10" t="str">
        <f t="shared" si="3"/>
        <v>high</v>
      </c>
      <c r="U58" s="1">
        <f t="shared" si="4"/>
        <v>9110.9700000000012</v>
      </c>
    </row>
    <row r="59" spans="1:21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10" t="str">
        <f t="shared" si="3"/>
        <v>high</v>
      </c>
      <c r="U59" s="1">
        <f t="shared" si="4"/>
        <v>8565.6</v>
      </c>
    </row>
    <row r="60" spans="1:21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10" t="str">
        <f t="shared" si="3"/>
        <v>high</v>
      </c>
      <c r="U60" s="1">
        <f t="shared" si="4"/>
        <v>16978.88</v>
      </c>
    </row>
    <row r="61" spans="1:21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10" t="str">
        <f t="shared" si="3"/>
        <v>high</v>
      </c>
      <c r="U61" s="1">
        <f t="shared" si="4"/>
        <v>25026</v>
      </c>
    </row>
    <row r="62" spans="1:21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10" t="str">
        <f t="shared" si="3"/>
        <v>high</v>
      </c>
      <c r="U62" s="1">
        <f t="shared" si="4"/>
        <v>2236.92</v>
      </c>
    </row>
    <row r="63" spans="1:21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10" t="str">
        <f t="shared" si="3"/>
        <v>high</v>
      </c>
      <c r="U63" s="1">
        <f t="shared" si="4"/>
        <v>22554.720000000001</v>
      </c>
    </row>
    <row r="64" spans="1:21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10" t="str">
        <f t="shared" si="3"/>
        <v>high</v>
      </c>
      <c r="U64" s="1">
        <f t="shared" si="4"/>
        <v>15874.26</v>
      </c>
    </row>
    <row r="65" spans="1:21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10" t="str">
        <f t="shared" si="3"/>
        <v>low</v>
      </c>
      <c r="U65" s="1">
        <f t="shared" si="4"/>
        <v>2082.4</v>
      </c>
    </row>
    <row r="66" spans="1:21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10" t="str">
        <f t="shared" si="3"/>
        <v>low</v>
      </c>
      <c r="U66" s="1">
        <f t="shared" si="4"/>
        <v>5546.42</v>
      </c>
    </row>
    <row r="67" spans="1:21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O67*N67%</f>
        <v>1432.49</v>
      </c>
      <c r="Q67" s="1">
        <f t="shared" ref="Q67:Q130" si="6">O67-P67</f>
        <v>27217.309999999998</v>
      </c>
      <c r="R67" s="1" t="str">
        <f t="shared" ref="R67:R130" si="7">IF(L67&gt;=5,"high","low")</f>
        <v>high</v>
      </c>
      <c r="S67" s="1" t="str" cm="1">
        <f t="array" ref="S67">_xlfn.IFS(L67&gt;5,"high",L67=5,"medium",L67&lt;5,"low")</f>
        <v>high</v>
      </c>
      <c r="T67" s="10" t="str">
        <f t="shared" ref="T67:T130" si="8">IF(L67&gt;5,"high",IF(L67=5,"medium","low"))</f>
        <v>high</v>
      </c>
      <c r="U67" s="1">
        <f t="shared" ref="U67:U130" si="9">L67*M67</f>
        <v>30157.68</v>
      </c>
    </row>
    <row r="68" spans="1:21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42.091500000000003</v>
      </c>
      <c r="Q68" s="1">
        <f t="shared" si="6"/>
        <v>238.51850000000002</v>
      </c>
      <c r="R68" s="1" t="str">
        <f t="shared" si="7"/>
        <v>low</v>
      </c>
      <c r="S68" s="1" t="str" cm="1">
        <f t="array" ref="S68">_xlfn.IFS(L68&gt;5,"high",L68=5,"medium",L68&lt;5,"low")</f>
        <v>low</v>
      </c>
      <c r="T68" s="10" t="str">
        <f t="shared" si="8"/>
        <v>low</v>
      </c>
      <c r="U68" s="1">
        <f t="shared" si="9"/>
        <v>330.13</v>
      </c>
    </row>
    <row r="69" spans="1:21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0</v>
      </c>
      <c r="Q69" s="1">
        <f t="shared" si="6"/>
        <v>8283.9599999999991</v>
      </c>
      <c r="R69" s="1" t="str">
        <f t="shared" si="7"/>
        <v>high</v>
      </c>
      <c r="S69" s="1" t="str" cm="1">
        <f t="array" ref="S69">_xlfn.IFS(L69&gt;5,"high",L69=5,"medium",L69&lt;5,"low")</f>
        <v>high</v>
      </c>
      <c r="T69" s="10" t="str">
        <f t="shared" si="8"/>
        <v>high</v>
      </c>
      <c r="U69" s="1">
        <f t="shared" si="9"/>
        <v>8283.9600000000009</v>
      </c>
    </row>
    <row r="70" spans="1:21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523.53950000000009</v>
      </c>
      <c r="Q70" s="1">
        <f t="shared" si="6"/>
        <v>9947.2505000000001</v>
      </c>
      <c r="R70" s="1" t="str">
        <f t="shared" si="7"/>
        <v>high</v>
      </c>
      <c r="S70" s="1" t="str" cm="1">
        <f t="array" ref="S70">_xlfn.IFS(L70&gt;5,"high",L70=5,"medium",L70&lt;5,"low")</f>
        <v>high</v>
      </c>
      <c r="T70" s="10" t="str">
        <f t="shared" si="8"/>
        <v>high</v>
      </c>
      <c r="U70" s="1">
        <f t="shared" si="9"/>
        <v>11021.880000000001</v>
      </c>
    </row>
    <row r="71" spans="1:21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2311.7759999999998</v>
      </c>
      <c r="Q71" s="1">
        <f t="shared" si="6"/>
        <v>9247.1039999999994</v>
      </c>
      <c r="R71" s="1" t="str">
        <f t="shared" si="7"/>
        <v>low</v>
      </c>
      <c r="S71" s="1" t="str" cm="1">
        <f t="array" ref="S71">_xlfn.IFS(L71&gt;5,"high",L71=5,"medium",L71&lt;5,"low")</f>
        <v>low</v>
      </c>
      <c r="T71" s="10" t="str">
        <f t="shared" si="8"/>
        <v>low</v>
      </c>
      <c r="U71" s="1">
        <f t="shared" si="9"/>
        <v>14448.6</v>
      </c>
    </row>
    <row r="72" spans="1:21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549.29600000000005</v>
      </c>
      <c r="Q72" s="1">
        <f t="shared" si="6"/>
        <v>10436.624</v>
      </c>
      <c r="R72" s="1" t="str">
        <f t="shared" si="7"/>
        <v>low</v>
      </c>
      <c r="S72" s="1" t="str" cm="1">
        <f t="array" ref="S72">_xlfn.IFS(L72&gt;5,"high",L72=5,"medium",L72&lt;5,"low")</f>
        <v>low</v>
      </c>
      <c r="T72" s="10" t="str">
        <f t="shared" si="8"/>
        <v>low</v>
      </c>
      <c r="U72" s="1">
        <f t="shared" si="9"/>
        <v>11564.130000000001</v>
      </c>
    </row>
    <row r="73" spans="1:21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711.38850000000002</v>
      </c>
      <c r="Q73" s="1">
        <f t="shared" si="6"/>
        <v>4031.2015000000001</v>
      </c>
      <c r="R73" s="1" t="str">
        <f t="shared" si="7"/>
        <v>low</v>
      </c>
      <c r="S73" s="1" t="str" cm="1">
        <f t="array" ref="S73">_xlfn.IFS(L73&gt;5,"high",L73=5,"medium",L73&lt;5,"low")</f>
        <v>low</v>
      </c>
      <c r="T73" s="10" t="str">
        <f t="shared" si="8"/>
        <v>low</v>
      </c>
      <c r="U73" s="1">
        <f t="shared" si="9"/>
        <v>5579.5199999999995</v>
      </c>
    </row>
    <row r="74" spans="1:21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144.28650000000002</v>
      </c>
      <c r="Q74" s="1">
        <f t="shared" si="6"/>
        <v>2741.4434999999999</v>
      </c>
      <c r="R74" s="1" t="str">
        <f t="shared" si="7"/>
        <v>low</v>
      </c>
      <c r="S74" s="1" t="str" cm="1">
        <f t="array" ref="S74">_xlfn.IFS(L74&gt;5,"high",L74=5,"medium",L74&lt;5,"low")</f>
        <v>low</v>
      </c>
      <c r="T74" s="10" t="str">
        <f t="shared" si="8"/>
        <v>low</v>
      </c>
      <c r="U74" s="1">
        <f t="shared" si="9"/>
        <v>3037.61</v>
      </c>
    </row>
    <row r="75" spans="1:21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0</v>
      </c>
      <c r="Q75" s="1">
        <f t="shared" si="6"/>
        <v>6590.67</v>
      </c>
      <c r="R75" s="1" t="str">
        <f t="shared" si="7"/>
        <v>low</v>
      </c>
      <c r="S75" s="1" t="str" cm="1">
        <f t="array" ref="S75">_xlfn.IFS(L75&gt;5,"high",L75=5,"medium",L75&lt;5,"low")</f>
        <v>low</v>
      </c>
      <c r="T75" s="10" t="str">
        <f t="shared" si="8"/>
        <v>low</v>
      </c>
      <c r="U75" s="1">
        <f t="shared" si="9"/>
        <v>6590.67</v>
      </c>
    </row>
    <row r="76" spans="1:21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0</v>
      </c>
      <c r="Q76" s="1">
        <f t="shared" si="6"/>
        <v>8881.84</v>
      </c>
      <c r="R76" s="1" t="str">
        <f t="shared" si="7"/>
        <v>low</v>
      </c>
      <c r="S76" s="1" t="str" cm="1">
        <f t="array" ref="S76">_xlfn.IFS(L76&gt;5,"high",L76=5,"medium",L76&lt;5,"low")</f>
        <v>low</v>
      </c>
      <c r="T76" s="10" t="str">
        <f t="shared" si="8"/>
        <v>low</v>
      </c>
      <c r="U76" s="1">
        <f t="shared" si="9"/>
        <v>8881.84</v>
      </c>
    </row>
    <row r="77" spans="1:21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976.5440000000001</v>
      </c>
      <c r="Q77" s="1">
        <f t="shared" si="6"/>
        <v>3906.1760000000004</v>
      </c>
      <c r="R77" s="1" t="str">
        <f t="shared" si="7"/>
        <v>high</v>
      </c>
      <c r="S77" s="1" t="str" cm="1">
        <f t="array" ref="S77">_xlfn.IFS(L77&gt;5,"high",L77=5,"medium",L77&lt;5,"low")</f>
        <v>medium</v>
      </c>
      <c r="T77" s="10" t="str">
        <f t="shared" si="8"/>
        <v>medium</v>
      </c>
      <c r="U77" s="1">
        <f t="shared" si="9"/>
        <v>6103.4000000000005</v>
      </c>
    </row>
    <row r="78" spans="1:21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266.02600000000001</v>
      </c>
      <c r="Q78" s="1">
        <f t="shared" si="6"/>
        <v>2394.2340000000004</v>
      </c>
      <c r="R78" s="1" t="str">
        <f t="shared" si="7"/>
        <v>low</v>
      </c>
      <c r="S78" s="1" t="str" cm="1">
        <f t="array" ref="S78">_xlfn.IFS(L78&gt;5,"high",L78=5,"medium",L78&lt;5,"low")</f>
        <v>low</v>
      </c>
      <c r="T78" s="10" t="str">
        <f t="shared" si="8"/>
        <v>low</v>
      </c>
      <c r="U78" s="1">
        <f t="shared" si="9"/>
        <v>2955.84</v>
      </c>
    </row>
    <row r="79" spans="1:21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962.99699999999984</v>
      </c>
      <c r="Q79" s="1">
        <f t="shared" si="6"/>
        <v>5456.9830000000002</v>
      </c>
      <c r="R79" s="1" t="str">
        <f t="shared" si="7"/>
        <v>high</v>
      </c>
      <c r="S79" s="1" t="str" cm="1">
        <f t="array" ref="S79">_xlfn.IFS(L79&gt;5,"high",L79=5,"medium",L79&lt;5,"low")</f>
        <v>high</v>
      </c>
      <c r="T79" s="10" t="str">
        <f t="shared" si="8"/>
        <v>high</v>
      </c>
      <c r="U79" s="1">
        <f t="shared" si="9"/>
        <v>7552.92</v>
      </c>
    </row>
    <row r="80" spans="1:21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1461.06</v>
      </c>
      <c r="Q80" s="1">
        <f t="shared" si="6"/>
        <v>8279.34</v>
      </c>
      <c r="R80" s="1" t="str">
        <f t="shared" si="7"/>
        <v>high</v>
      </c>
      <c r="S80" s="1" t="str" cm="1">
        <f t="array" ref="S80">_xlfn.IFS(L80&gt;5,"high",L80=5,"medium",L80&lt;5,"low")</f>
        <v>medium</v>
      </c>
      <c r="T80" s="10" t="str">
        <f t="shared" si="8"/>
        <v>medium</v>
      </c>
      <c r="U80" s="1">
        <f t="shared" si="9"/>
        <v>11459.300000000001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70.807000000000002</v>
      </c>
      <c r="Q81" s="1">
        <f t="shared" si="6"/>
        <v>637.26300000000003</v>
      </c>
      <c r="R81" s="1" t="str">
        <f t="shared" si="7"/>
        <v>low</v>
      </c>
      <c r="S81" s="1" t="str" cm="1">
        <f t="array" ref="S81">_xlfn.IFS(L81&gt;5,"high",L81=5,"medium",L81&lt;5,"low")</f>
        <v>low</v>
      </c>
      <c r="T81" s="10" t="str">
        <f t="shared" si="8"/>
        <v>low</v>
      </c>
      <c r="U81" s="1">
        <f t="shared" si="9"/>
        <v>786.75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0</v>
      </c>
      <c r="Q82" s="1">
        <f t="shared" si="6"/>
        <v>21857.46</v>
      </c>
      <c r="R82" s="1" t="str">
        <f t="shared" si="7"/>
        <v>high</v>
      </c>
      <c r="S82" s="1" t="str" cm="1">
        <f t="array" ref="S82">_xlfn.IFS(L82&gt;5,"high",L82=5,"medium",L82&lt;5,"low")</f>
        <v>high</v>
      </c>
      <c r="T82" s="10" t="str">
        <f t="shared" si="8"/>
        <v>high</v>
      </c>
      <c r="U82" s="1">
        <f t="shared" si="9"/>
        <v>21857.46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0</v>
      </c>
      <c r="Q83" s="1">
        <f t="shared" si="6"/>
        <v>4510.1400000000003</v>
      </c>
      <c r="R83" s="1" t="str">
        <f t="shared" si="7"/>
        <v>high</v>
      </c>
      <c r="S83" s="1" t="str" cm="1">
        <f t="array" ref="S83">_xlfn.IFS(L83&gt;5,"high",L83=5,"medium",L83&lt;5,"low")</f>
        <v>high</v>
      </c>
      <c r="T83" s="10" t="str">
        <f t="shared" si="8"/>
        <v>high</v>
      </c>
      <c r="U83" s="1">
        <f t="shared" si="9"/>
        <v>4510.1400000000003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378.98900000000003</v>
      </c>
      <c r="Q84" s="1">
        <f t="shared" si="6"/>
        <v>7200.7909999999993</v>
      </c>
      <c r="R84" s="1" t="str">
        <f t="shared" si="7"/>
        <v>high</v>
      </c>
      <c r="S84" s="1" t="str" cm="1">
        <f t="array" ref="S84">_xlfn.IFS(L84&gt;5,"high",L84=5,"medium",L84&lt;5,"low")</f>
        <v>high</v>
      </c>
      <c r="T84" s="10" t="str">
        <f t="shared" si="8"/>
        <v>high</v>
      </c>
      <c r="U84" s="1">
        <f t="shared" si="9"/>
        <v>7978.72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686.51600000000008</v>
      </c>
      <c r="Q85" s="1">
        <f t="shared" si="6"/>
        <v>2746.0639999999999</v>
      </c>
      <c r="R85" s="1" t="str">
        <f t="shared" si="7"/>
        <v>low</v>
      </c>
      <c r="S85" s="1" t="str" cm="1">
        <f t="array" ref="S85">_xlfn.IFS(L85&gt;5,"high",L85=5,"medium",L85&lt;5,"low")</f>
        <v>low</v>
      </c>
      <c r="T85" s="10" t="str">
        <f t="shared" si="8"/>
        <v>low</v>
      </c>
      <c r="U85" s="1">
        <f t="shared" si="9"/>
        <v>4290.72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461.43000000000006</v>
      </c>
      <c r="Q86" s="1">
        <f t="shared" si="6"/>
        <v>1845.72</v>
      </c>
      <c r="R86" s="1" t="str">
        <f t="shared" si="7"/>
        <v>low</v>
      </c>
      <c r="S86" s="1" t="str" cm="1">
        <f t="array" ref="S86">_xlfn.IFS(L86&gt;5,"high",L86=5,"medium",L86&lt;5,"low")</f>
        <v>low</v>
      </c>
      <c r="T86" s="10" t="str">
        <f t="shared" si="8"/>
        <v>low</v>
      </c>
      <c r="U86" s="1">
        <f t="shared" si="9"/>
        <v>2883.94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331.87800000000004</v>
      </c>
      <c r="Q87" s="1">
        <f t="shared" si="6"/>
        <v>1327.5120000000002</v>
      </c>
      <c r="R87" s="1" t="str">
        <f t="shared" si="7"/>
        <v>low</v>
      </c>
      <c r="S87" s="1" t="str" cm="1">
        <f t="array" ref="S87">_xlfn.IFS(L87&gt;5,"high",L87=5,"medium",L87&lt;5,"low")</f>
        <v>low</v>
      </c>
      <c r="T87" s="10" t="str">
        <f t="shared" si="8"/>
        <v>low</v>
      </c>
      <c r="U87" s="1">
        <f t="shared" si="9"/>
        <v>2074.2399999999998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456.5625</v>
      </c>
      <c r="Q88" s="1">
        <f t="shared" si="6"/>
        <v>8674.6875</v>
      </c>
      <c r="R88" s="1" t="str">
        <f t="shared" si="7"/>
        <v>high</v>
      </c>
      <c r="S88" s="1" t="str" cm="1">
        <f t="array" ref="S88">_xlfn.IFS(L88&gt;5,"high",L88=5,"medium",L88&lt;5,"low")</f>
        <v>high</v>
      </c>
      <c r="T88" s="10" t="str">
        <f t="shared" si="8"/>
        <v>high</v>
      </c>
      <c r="U88" s="1">
        <f t="shared" si="9"/>
        <v>9611.84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1862.1120000000001</v>
      </c>
      <c r="Q89" s="1">
        <f t="shared" si="6"/>
        <v>7448.4479999999994</v>
      </c>
      <c r="R89" s="1" t="str">
        <f t="shared" si="7"/>
        <v>low</v>
      </c>
      <c r="S89" s="1" t="str" cm="1">
        <f t="array" ref="S89">_xlfn.IFS(L89&gt;5,"high",L89=5,"medium",L89&lt;5,"low")</f>
        <v>low</v>
      </c>
      <c r="T89" s="10" t="str">
        <f t="shared" si="8"/>
        <v>low</v>
      </c>
      <c r="U89" s="1">
        <f t="shared" si="9"/>
        <v>11638.2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313.20500000000004</v>
      </c>
      <c r="Q90" s="1">
        <f t="shared" si="6"/>
        <v>2818.8450000000003</v>
      </c>
      <c r="R90" s="1" t="str">
        <f t="shared" si="7"/>
        <v>low</v>
      </c>
      <c r="S90" s="1" t="str" cm="1">
        <f t="array" ref="S90">_xlfn.IFS(L90&gt;5,"high",L90=5,"medium",L90&lt;5,"low")</f>
        <v>low</v>
      </c>
      <c r="T90" s="10" t="str">
        <f t="shared" si="8"/>
        <v>low</v>
      </c>
      <c r="U90" s="1">
        <f t="shared" si="9"/>
        <v>3480.06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321.86950000000002</v>
      </c>
      <c r="Q91" s="1">
        <f t="shared" si="6"/>
        <v>6115.5205000000005</v>
      </c>
      <c r="R91" s="1" t="str">
        <f t="shared" si="7"/>
        <v>high</v>
      </c>
      <c r="S91" s="1" t="str" cm="1">
        <f t="array" ref="S91">_xlfn.IFS(L91&gt;5,"high",L91=5,"medium",L91&lt;5,"low")</f>
        <v>medium</v>
      </c>
      <c r="T91" s="10" t="str">
        <f t="shared" si="8"/>
        <v>medium</v>
      </c>
      <c r="U91" s="1">
        <f t="shared" si="9"/>
        <v>6776.2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1516.7340000000002</v>
      </c>
      <c r="Q92" s="1">
        <f t="shared" si="6"/>
        <v>13650.606</v>
      </c>
      <c r="R92" s="1" t="str">
        <f t="shared" si="7"/>
        <v>high</v>
      </c>
      <c r="S92" s="1" t="str" cm="1">
        <f t="array" ref="S92">_xlfn.IFS(L92&gt;5,"high",L92=5,"medium",L92&lt;5,"low")</f>
        <v>medium</v>
      </c>
      <c r="T92" s="10" t="str">
        <f t="shared" si="8"/>
        <v>medium</v>
      </c>
      <c r="U92" s="1">
        <f t="shared" si="9"/>
        <v>16852.599999999999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48.924500000000002</v>
      </c>
      <c r="Q93" s="1">
        <f t="shared" si="6"/>
        <v>929.56550000000004</v>
      </c>
      <c r="R93" s="1" t="str">
        <f t="shared" si="7"/>
        <v>low</v>
      </c>
      <c r="S93" s="1" t="str" cm="1">
        <f t="array" ref="S93">_xlfn.IFS(L93&gt;5,"high",L93=5,"medium",L93&lt;5,"low")</f>
        <v>low</v>
      </c>
      <c r="T93" s="10" t="str">
        <f t="shared" si="8"/>
        <v>low</v>
      </c>
      <c r="U93" s="1">
        <f t="shared" si="9"/>
        <v>1029.99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2791.8140000000003</v>
      </c>
      <c r="Q94" s="1">
        <f t="shared" si="6"/>
        <v>11167.255999999999</v>
      </c>
      <c r="R94" s="1" t="str">
        <f t="shared" si="7"/>
        <v>high</v>
      </c>
      <c r="S94" s="1" t="str" cm="1">
        <f t="array" ref="S94">_xlfn.IFS(L94&gt;5,"high",L94=5,"medium",L94&lt;5,"low")</f>
        <v>high</v>
      </c>
      <c r="T94" s="10" t="str">
        <f t="shared" si="8"/>
        <v>high</v>
      </c>
      <c r="U94" s="1">
        <f t="shared" si="9"/>
        <v>17448.84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580.14700000000005</v>
      </c>
      <c r="Q95" s="1">
        <f t="shared" si="6"/>
        <v>5221.3230000000003</v>
      </c>
      <c r="R95" s="1" t="str">
        <f t="shared" si="7"/>
        <v>low</v>
      </c>
      <c r="S95" s="1" t="str" cm="1">
        <f t="array" ref="S95">_xlfn.IFS(L95&gt;5,"high",L95=5,"medium",L95&lt;5,"low")</f>
        <v>low</v>
      </c>
      <c r="T95" s="10" t="str">
        <f t="shared" si="8"/>
        <v>low</v>
      </c>
      <c r="U95" s="1">
        <f t="shared" si="9"/>
        <v>6446.08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369.59200000000004</v>
      </c>
      <c r="Q96" s="1">
        <f t="shared" si="6"/>
        <v>3326.328</v>
      </c>
      <c r="R96" s="1" t="str">
        <f t="shared" si="7"/>
        <v>low</v>
      </c>
      <c r="S96" s="1" t="str" cm="1">
        <f t="array" ref="S96">_xlfn.IFS(L96&gt;5,"high",L96=5,"medium",L96&lt;5,"low")</f>
        <v>low</v>
      </c>
      <c r="T96" s="10" t="str">
        <f t="shared" si="8"/>
        <v>low</v>
      </c>
      <c r="U96" s="1">
        <f t="shared" si="9"/>
        <v>4106.58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224.989</v>
      </c>
      <c r="Q97" s="1">
        <f t="shared" si="6"/>
        <v>2024.9009999999998</v>
      </c>
      <c r="R97" s="1" t="str">
        <f t="shared" si="7"/>
        <v>low</v>
      </c>
      <c r="S97" s="1" t="str" cm="1">
        <f t="array" ref="S97">_xlfn.IFS(L97&gt;5,"high",L97=5,"medium",L97&lt;5,"low")</f>
        <v>low</v>
      </c>
      <c r="T97" s="10" t="str">
        <f t="shared" si="8"/>
        <v>low</v>
      </c>
      <c r="U97" s="1">
        <f t="shared" si="9"/>
        <v>2499.88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214.51500000000001</v>
      </c>
      <c r="Q98" s="1">
        <f t="shared" si="6"/>
        <v>4075.7850000000003</v>
      </c>
      <c r="R98" s="1" t="str">
        <f t="shared" si="7"/>
        <v>high</v>
      </c>
      <c r="S98" s="1" t="str" cm="1">
        <f t="array" ref="S98">_xlfn.IFS(L98&gt;5,"high",L98=5,"medium",L98&lt;5,"low")</f>
        <v>high</v>
      </c>
      <c r="T98" s="10" t="str">
        <f t="shared" si="8"/>
        <v>high</v>
      </c>
      <c r="U98" s="1">
        <f t="shared" si="9"/>
        <v>4516.1100000000006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694.66049999999996</v>
      </c>
      <c r="Q99" s="1">
        <f t="shared" si="6"/>
        <v>3936.4094999999998</v>
      </c>
      <c r="R99" s="1" t="str">
        <f t="shared" si="7"/>
        <v>low</v>
      </c>
      <c r="S99" s="1" t="str" cm="1">
        <f t="array" ref="S99">_xlfn.IFS(L99&gt;5,"high",L99=5,"medium",L99&lt;5,"low")</f>
        <v>low</v>
      </c>
      <c r="T99" s="10" t="str">
        <f t="shared" si="8"/>
        <v>low</v>
      </c>
      <c r="U99" s="1">
        <f t="shared" si="9"/>
        <v>5448.32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151.56</v>
      </c>
      <c r="Q100" s="1">
        <f t="shared" si="6"/>
        <v>606.24</v>
      </c>
      <c r="R100" s="1" t="str">
        <f t="shared" si="7"/>
        <v>low</v>
      </c>
      <c r="S100" s="1" t="str" cm="1">
        <f t="array" ref="S100">_xlfn.IFS(L100&gt;5,"high",L100=5,"medium",L100&lt;5,"low")</f>
        <v>low</v>
      </c>
      <c r="T100" s="10" t="str">
        <f t="shared" si="8"/>
        <v>low</v>
      </c>
      <c r="U100" s="1">
        <f t="shared" si="9"/>
        <v>947.25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1988.7270000000001</v>
      </c>
      <c r="Q101" s="1">
        <f t="shared" si="6"/>
        <v>17898.543000000001</v>
      </c>
      <c r="R101" s="1" t="str">
        <f t="shared" si="7"/>
        <v>high</v>
      </c>
      <c r="S101" s="1" t="str" cm="1">
        <f t="array" ref="S101">_xlfn.IFS(L101&gt;5,"high",L101=5,"medium",L101&lt;5,"low")</f>
        <v>high</v>
      </c>
      <c r="T101" s="10" t="str">
        <f t="shared" si="8"/>
        <v>high</v>
      </c>
      <c r="U101" s="1">
        <f t="shared" si="9"/>
        <v>22096.97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1716.8430000000001</v>
      </c>
      <c r="Q102" s="1">
        <f t="shared" si="6"/>
        <v>9728.777</v>
      </c>
      <c r="R102" s="1" t="str">
        <f t="shared" si="7"/>
        <v>high</v>
      </c>
      <c r="S102" s="1" t="str" cm="1">
        <f t="array" ref="S102">_xlfn.IFS(L102&gt;5,"high",L102=5,"medium",L102&lt;5,"low")</f>
        <v>high</v>
      </c>
      <c r="T102" s="10" t="str">
        <f t="shared" si="8"/>
        <v>high</v>
      </c>
      <c r="U102" s="1">
        <f t="shared" si="9"/>
        <v>13465.44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594.89</v>
      </c>
      <c r="Q103" s="1">
        <f t="shared" si="6"/>
        <v>2379.56</v>
      </c>
      <c r="R103" s="1" t="str">
        <f t="shared" si="7"/>
        <v>low</v>
      </c>
      <c r="S103" s="1" t="str" cm="1">
        <f t="array" ref="S103">_xlfn.IFS(L103&gt;5,"high",L103=5,"medium",L103&lt;5,"low")</f>
        <v>low</v>
      </c>
      <c r="T103" s="10" t="str">
        <f t="shared" si="8"/>
        <v>low</v>
      </c>
      <c r="U103" s="1">
        <f t="shared" si="9"/>
        <v>3718.06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4021.1800000000003</v>
      </c>
      <c r="Q104" s="1">
        <f t="shared" si="6"/>
        <v>16084.720000000001</v>
      </c>
      <c r="R104" s="1" t="str">
        <f t="shared" si="7"/>
        <v>high</v>
      </c>
      <c r="S104" s="1" t="str" cm="1">
        <f t="array" ref="S104">_xlfn.IFS(L104&gt;5,"high",L104=5,"medium",L104&lt;5,"low")</f>
        <v>high</v>
      </c>
      <c r="T104" s="10" t="str">
        <f t="shared" si="8"/>
        <v>high</v>
      </c>
      <c r="U104" s="1">
        <f t="shared" si="9"/>
        <v>25132.38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1207.5790000000002</v>
      </c>
      <c r="Q105" s="1">
        <f t="shared" si="6"/>
        <v>10868.211000000001</v>
      </c>
      <c r="R105" s="1" t="str">
        <f t="shared" si="7"/>
        <v>high</v>
      </c>
      <c r="S105" s="1" t="str" cm="1">
        <f t="array" ref="S105">_xlfn.IFS(L105&gt;5,"high",L105=5,"medium",L105&lt;5,"low")</f>
        <v>medium</v>
      </c>
      <c r="T105" s="10" t="str">
        <f t="shared" si="8"/>
        <v>medium</v>
      </c>
      <c r="U105" s="1">
        <f t="shared" si="9"/>
        <v>13417.550000000001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81.463000000000008</v>
      </c>
      <c r="Q106" s="1">
        <f t="shared" si="6"/>
        <v>733.16700000000003</v>
      </c>
      <c r="R106" s="1" t="str">
        <f t="shared" si="7"/>
        <v>high</v>
      </c>
      <c r="S106" s="1" t="str" cm="1">
        <f t="array" ref="S106">_xlfn.IFS(L106&gt;5,"high",L106=5,"medium",L106&lt;5,"low")</f>
        <v>medium</v>
      </c>
      <c r="T106" s="10" t="str">
        <f t="shared" si="8"/>
        <v>medium</v>
      </c>
      <c r="U106" s="1">
        <f t="shared" si="9"/>
        <v>905.15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538.82399999999996</v>
      </c>
      <c r="Q107" s="1">
        <f t="shared" si="6"/>
        <v>10237.655999999999</v>
      </c>
      <c r="R107" s="1" t="str">
        <f t="shared" si="7"/>
        <v>low</v>
      </c>
      <c r="S107" s="1" t="str" cm="1">
        <f t="array" ref="S107">_xlfn.IFS(L107&gt;5,"high",L107=5,"medium",L107&lt;5,"low")</f>
        <v>low</v>
      </c>
      <c r="T107" s="10" t="str">
        <f t="shared" si="8"/>
        <v>low</v>
      </c>
      <c r="U107" s="1">
        <f t="shared" si="9"/>
        <v>11343.66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677.66849999999999</v>
      </c>
      <c r="Q108" s="1">
        <f t="shared" si="6"/>
        <v>3840.1215000000002</v>
      </c>
      <c r="R108" s="1" t="str">
        <f t="shared" si="7"/>
        <v>high</v>
      </c>
      <c r="S108" s="1" t="str" cm="1">
        <f t="array" ref="S108">_xlfn.IFS(L108&gt;5,"high",L108=5,"medium",L108&lt;5,"low")</f>
        <v>medium</v>
      </c>
      <c r="T108" s="10" t="str">
        <f t="shared" si="8"/>
        <v>medium</v>
      </c>
      <c r="U108" s="1">
        <f t="shared" si="9"/>
        <v>5315.05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143.89949999999999</v>
      </c>
      <c r="Q109" s="1">
        <f t="shared" si="6"/>
        <v>815.43050000000005</v>
      </c>
      <c r="R109" s="1" t="str">
        <f t="shared" si="7"/>
        <v>low</v>
      </c>
      <c r="S109" s="1" t="str" cm="1">
        <f t="array" ref="S109">_xlfn.IFS(L109&gt;5,"high",L109=5,"medium",L109&lt;5,"low")</f>
        <v>low</v>
      </c>
      <c r="T109" s="10" t="str">
        <f t="shared" si="8"/>
        <v>low</v>
      </c>
      <c r="U109" s="1">
        <f t="shared" si="9"/>
        <v>1128.6199999999999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1118.624</v>
      </c>
      <c r="Q110" s="1">
        <f t="shared" si="6"/>
        <v>10067.616</v>
      </c>
      <c r="R110" s="1" t="str">
        <f t="shared" si="7"/>
        <v>low</v>
      </c>
      <c r="S110" s="1" t="str" cm="1">
        <f t="array" ref="S110">_xlfn.IFS(L110&gt;5,"high",L110=5,"medium",L110&lt;5,"low")</f>
        <v>low</v>
      </c>
      <c r="T110" s="10" t="str">
        <f t="shared" si="8"/>
        <v>low</v>
      </c>
      <c r="U110" s="1">
        <f t="shared" si="9"/>
        <v>12429.16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1993.7660000000001</v>
      </c>
      <c r="Q111" s="1">
        <f t="shared" si="6"/>
        <v>7975.0640000000003</v>
      </c>
      <c r="R111" s="1" t="str">
        <f t="shared" si="7"/>
        <v>high</v>
      </c>
      <c r="S111" s="1" t="str" cm="1">
        <f t="array" ref="S111">_xlfn.IFS(L111&gt;5,"high",L111=5,"medium",L111&lt;5,"low")</f>
        <v>high</v>
      </c>
      <c r="T111" s="10" t="str">
        <f t="shared" si="8"/>
        <v>high</v>
      </c>
      <c r="U111" s="1">
        <f t="shared" si="9"/>
        <v>12461.04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163.80200000000002</v>
      </c>
      <c r="Q112" s="1">
        <f t="shared" si="6"/>
        <v>1474.2179999999998</v>
      </c>
      <c r="R112" s="1" t="str">
        <f t="shared" si="7"/>
        <v>low</v>
      </c>
      <c r="S112" s="1" t="str" cm="1">
        <f t="array" ref="S112">_xlfn.IFS(L112&gt;5,"high",L112=5,"medium",L112&lt;5,"low")</f>
        <v>low</v>
      </c>
      <c r="T112" s="10" t="str">
        <f t="shared" si="8"/>
        <v>low</v>
      </c>
      <c r="U112" s="1">
        <f t="shared" si="9"/>
        <v>1820.02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710.77800000000002</v>
      </c>
      <c r="Q113" s="1">
        <f t="shared" si="6"/>
        <v>2843.1120000000001</v>
      </c>
      <c r="R113" s="1" t="str">
        <f t="shared" si="7"/>
        <v>low</v>
      </c>
      <c r="S113" s="1" t="str" cm="1">
        <f t="array" ref="S113">_xlfn.IFS(L113&gt;5,"high",L113=5,"medium",L113&lt;5,"low")</f>
        <v>low</v>
      </c>
      <c r="T113" s="10" t="str">
        <f t="shared" si="8"/>
        <v>low</v>
      </c>
      <c r="U113" s="1">
        <f t="shared" si="9"/>
        <v>4442.3599999999997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2167.46</v>
      </c>
      <c r="Q114" s="1">
        <f t="shared" si="6"/>
        <v>8669.84</v>
      </c>
      <c r="R114" s="1" t="str">
        <f t="shared" si="7"/>
        <v>high</v>
      </c>
      <c r="S114" s="1" t="str" cm="1">
        <f t="array" ref="S114">_xlfn.IFS(L114&gt;5,"high",L114=5,"medium",L114&lt;5,"low")</f>
        <v>high</v>
      </c>
      <c r="T114" s="10" t="str">
        <f t="shared" si="8"/>
        <v>high</v>
      </c>
      <c r="U114" s="1">
        <f t="shared" si="9"/>
        <v>13546.619999999999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977.16800000000012</v>
      </c>
      <c r="Q115" s="1">
        <f t="shared" si="6"/>
        <v>8794.5120000000006</v>
      </c>
      <c r="R115" s="1" t="str">
        <f t="shared" si="7"/>
        <v>high</v>
      </c>
      <c r="S115" s="1" t="str" cm="1">
        <f t="array" ref="S115">_xlfn.IFS(L115&gt;5,"high",L115=5,"medium",L115&lt;5,"low")</f>
        <v>high</v>
      </c>
      <c r="T115" s="10" t="str">
        <f t="shared" si="8"/>
        <v>high</v>
      </c>
      <c r="U115" s="1">
        <f t="shared" si="9"/>
        <v>10857.420000000002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0</v>
      </c>
      <c r="Q116" s="1">
        <f t="shared" si="6"/>
        <v>7242.18</v>
      </c>
      <c r="R116" s="1" t="str">
        <f t="shared" si="7"/>
        <v>low</v>
      </c>
      <c r="S116" s="1" t="str" cm="1">
        <f t="array" ref="S116">_xlfn.IFS(L116&gt;5,"high",L116=5,"medium",L116&lt;5,"low")</f>
        <v>low</v>
      </c>
      <c r="T116" s="10" t="str">
        <f t="shared" si="8"/>
        <v>low</v>
      </c>
      <c r="U116" s="1">
        <f t="shared" si="9"/>
        <v>7242.18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873.34649999999999</v>
      </c>
      <c r="Q117" s="1">
        <f t="shared" si="6"/>
        <v>4948.9635000000007</v>
      </c>
      <c r="R117" s="1" t="str">
        <f t="shared" si="7"/>
        <v>high</v>
      </c>
      <c r="S117" s="1" t="str" cm="1">
        <f t="array" ref="S117">_xlfn.IFS(L117&gt;5,"high",L117=5,"medium",L117&lt;5,"low")</f>
        <v>high</v>
      </c>
      <c r="T117" s="10" t="str">
        <f t="shared" si="8"/>
        <v>high</v>
      </c>
      <c r="U117" s="1">
        <f t="shared" si="9"/>
        <v>6849.78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3412.5800000000004</v>
      </c>
      <c r="Q118" s="1">
        <f t="shared" si="6"/>
        <v>13650.320000000002</v>
      </c>
      <c r="R118" s="1" t="str">
        <f t="shared" si="7"/>
        <v>high</v>
      </c>
      <c r="S118" s="1" t="str" cm="1">
        <f t="array" ref="S118">_xlfn.IFS(L118&gt;5,"high",L118=5,"medium",L118&lt;5,"low")</f>
        <v>high</v>
      </c>
      <c r="T118" s="10" t="str">
        <f t="shared" si="8"/>
        <v>high</v>
      </c>
      <c r="U118" s="1">
        <f t="shared" si="9"/>
        <v>21328.62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737.1880000000001</v>
      </c>
      <c r="Q119" s="1">
        <f t="shared" si="6"/>
        <v>2948.752</v>
      </c>
      <c r="R119" s="1" t="str">
        <f t="shared" si="7"/>
        <v>low</v>
      </c>
      <c r="S119" s="1" t="str" cm="1">
        <f t="array" ref="S119">_xlfn.IFS(L119&gt;5,"high",L119=5,"medium",L119&lt;5,"low")</f>
        <v>low</v>
      </c>
      <c r="T119" s="10" t="str">
        <f t="shared" si="8"/>
        <v>low</v>
      </c>
      <c r="U119" s="1">
        <f t="shared" si="9"/>
        <v>4607.42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0</v>
      </c>
      <c r="Q120" s="1">
        <f t="shared" si="6"/>
        <v>26717.439999999999</v>
      </c>
      <c r="R120" s="1" t="str">
        <f t="shared" si="7"/>
        <v>high</v>
      </c>
      <c r="S120" s="1" t="str" cm="1">
        <f t="array" ref="S120">_xlfn.IFS(L120&gt;5,"high",L120=5,"medium",L120&lt;5,"low")</f>
        <v>high</v>
      </c>
      <c r="T120" s="10" t="str">
        <f t="shared" si="8"/>
        <v>high</v>
      </c>
      <c r="U120" s="1">
        <f t="shared" si="9"/>
        <v>26717.439999999999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962.40800000000002</v>
      </c>
      <c r="Q121" s="1">
        <f t="shared" si="6"/>
        <v>18285.752</v>
      </c>
      <c r="R121" s="1" t="str">
        <f t="shared" si="7"/>
        <v>high</v>
      </c>
      <c r="S121" s="1" t="str" cm="1">
        <f t="array" ref="S121">_xlfn.IFS(L121&gt;5,"high",L121=5,"medium",L121&lt;5,"low")</f>
        <v>high</v>
      </c>
      <c r="T121" s="10" t="str">
        <f t="shared" si="8"/>
        <v>high</v>
      </c>
      <c r="U121" s="1">
        <f t="shared" si="9"/>
        <v>20261.22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0</v>
      </c>
      <c r="Q122" s="1">
        <f t="shared" si="6"/>
        <v>14161.4</v>
      </c>
      <c r="R122" s="1" t="str">
        <f t="shared" si="7"/>
        <v>high</v>
      </c>
      <c r="S122" s="1" t="str" cm="1">
        <f t="array" ref="S122">_xlfn.IFS(L122&gt;5,"high",L122=5,"medium",L122&lt;5,"low")</f>
        <v>medium</v>
      </c>
      <c r="T122" s="10" t="str">
        <f t="shared" si="8"/>
        <v>medium</v>
      </c>
      <c r="U122" s="1">
        <f t="shared" si="9"/>
        <v>14161.400000000001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0</v>
      </c>
      <c r="Q123" s="1">
        <f t="shared" si="6"/>
        <v>6993.65</v>
      </c>
      <c r="R123" s="1" t="str">
        <f t="shared" si="7"/>
        <v>high</v>
      </c>
      <c r="S123" s="1" t="str" cm="1">
        <f t="array" ref="S123">_xlfn.IFS(L123&gt;5,"high",L123=5,"medium",L123&lt;5,"low")</f>
        <v>medium</v>
      </c>
      <c r="T123" s="10" t="str">
        <f t="shared" si="8"/>
        <v>medium</v>
      </c>
      <c r="U123" s="1">
        <f t="shared" si="9"/>
        <v>6993.65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1176.5600000000002</v>
      </c>
      <c r="Q124" s="1">
        <f t="shared" si="6"/>
        <v>4706.24</v>
      </c>
      <c r="R124" s="1" t="str">
        <f t="shared" si="7"/>
        <v>high</v>
      </c>
      <c r="S124" s="1" t="str" cm="1">
        <f t="array" ref="S124">_xlfn.IFS(L124&gt;5,"high",L124=5,"medium",L124&lt;5,"low")</f>
        <v>high</v>
      </c>
      <c r="T124" s="10" t="str">
        <f t="shared" si="8"/>
        <v>high</v>
      </c>
      <c r="U124" s="1">
        <f t="shared" si="9"/>
        <v>7353.5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1103.7914999999998</v>
      </c>
      <c r="Q125" s="1">
        <f t="shared" si="6"/>
        <v>6254.8184999999994</v>
      </c>
      <c r="R125" s="1" t="str">
        <f t="shared" si="7"/>
        <v>high</v>
      </c>
      <c r="S125" s="1" t="str" cm="1">
        <f t="array" ref="S125">_xlfn.IFS(L125&gt;5,"high",L125=5,"medium",L125&lt;5,"low")</f>
        <v>high</v>
      </c>
      <c r="T125" s="10" t="str">
        <f t="shared" si="8"/>
        <v>high</v>
      </c>
      <c r="U125" s="1">
        <f t="shared" si="9"/>
        <v>8657.19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0</v>
      </c>
      <c r="Q126" s="1">
        <f t="shared" si="6"/>
        <v>31051.71</v>
      </c>
      <c r="R126" s="1" t="str">
        <f t="shared" si="7"/>
        <v>high</v>
      </c>
      <c r="S126" s="1" t="str" cm="1">
        <f t="array" ref="S126">_xlfn.IFS(L126&gt;5,"high",L126=5,"medium",L126&lt;5,"low")</f>
        <v>high</v>
      </c>
      <c r="T126" s="10" t="str">
        <f t="shared" si="8"/>
        <v>high</v>
      </c>
      <c r="U126" s="1">
        <f t="shared" si="9"/>
        <v>31051.71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1414.4435000000001</v>
      </c>
      <c r="Q127" s="1">
        <f t="shared" si="6"/>
        <v>26874.426499999998</v>
      </c>
      <c r="R127" s="1" t="str">
        <f t="shared" si="7"/>
        <v>high</v>
      </c>
      <c r="S127" s="1" t="str" cm="1">
        <f t="array" ref="S127">_xlfn.IFS(L127&gt;5,"high",L127=5,"medium",L127&lt;5,"low")</f>
        <v>high</v>
      </c>
      <c r="T127" s="10" t="str">
        <f t="shared" si="8"/>
        <v>high</v>
      </c>
      <c r="U127" s="1">
        <f t="shared" si="9"/>
        <v>29777.759999999998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996.95300000000009</v>
      </c>
      <c r="Q128" s="1">
        <f t="shared" si="6"/>
        <v>8972.5770000000011</v>
      </c>
      <c r="R128" s="1" t="str">
        <f t="shared" si="7"/>
        <v>high</v>
      </c>
      <c r="S128" s="1" t="str" cm="1">
        <f t="array" ref="S128">_xlfn.IFS(L128&gt;5,"high",L128=5,"medium",L128&lt;5,"low")</f>
        <v>high</v>
      </c>
      <c r="T128" s="10" t="str">
        <f t="shared" si="8"/>
        <v>high</v>
      </c>
      <c r="U128" s="1">
        <f t="shared" si="9"/>
        <v>11077.26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0</v>
      </c>
      <c r="Q129" s="1">
        <f t="shared" si="6"/>
        <v>3958.56</v>
      </c>
      <c r="R129" s="1" t="str">
        <f t="shared" si="7"/>
        <v>high</v>
      </c>
      <c r="S129" s="1" t="str" cm="1">
        <f t="array" ref="S129">_xlfn.IFS(L129&gt;5,"high",L129=5,"medium",L129&lt;5,"low")</f>
        <v>high</v>
      </c>
      <c r="T129" s="10" t="str">
        <f t="shared" si="8"/>
        <v>high</v>
      </c>
      <c r="U129" s="1">
        <f t="shared" si="9"/>
        <v>3958.56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0</v>
      </c>
      <c r="Q130" s="1">
        <f t="shared" si="6"/>
        <v>4865.01</v>
      </c>
      <c r="R130" s="1" t="str">
        <f t="shared" si="7"/>
        <v>low</v>
      </c>
      <c r="S130" s="1" t="str" cm="1">
        <f t="array" ref="S130">_xlfn.IFS(L130&gt;5,"high",L130=5,"medium",L130&lt;5,"low")</f>
        <v>low</v>
      </c>
      <c r="T130" s="10" t="str">
        <f t="shared" si="8"/>
        <v>low</v>
      </c>
      <c r="U130" s="1">
        <f t="shared" si="9"/>
        <v>4865.01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O131*N131%</f>
        <v>120.3875</v>
      </c>
      <c r="Q131" s="1">
        <f t="shared" ref="Q131:Q194" si="11">O131-P131</f>
        <v>2287.3625000000002</v>
      </c>
      <c r="R131" s="1" t="str">
        <f t="shared" ref="R131:R194" si="12">IF(L131&gt;=5,"high","low")</f>
        <v>low</v>
      </c>
      <c r="S131" s="1" t="str" cm="1">
        <f t="array" ref="S131">_xlfn.IFS(L131&gt;5,"high",L131=5,"medium",L131&lt;5,"low")</f>
        <v>low</v>
      </c>
      <c r="T131" s="10" t="str">
        <f t="shared" ref="T131:T194" si="13">IF(L131&gt;5,"high",IF(L131=5,"medium","low"))</f>
        <v>low</v>
      </c>
      <c r="U131" s="1">
        <f t="shared" ref="U131:U194" si="14">L131*M131</f>
        <v>2534.4699999999998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1695.2594999999999</v>
      </c>
      <c r="Q132" s="1">
        <f t="shared" si="11"/>
        <v>9606.4704999999994</v>
      </c>
      <c r="R132" s="1" t="str">
        <f t="shared" si="12"/>
        <v>high</v>
      </c>
      <c r="S132" s="1" t="str" cm="1">
        <f t="array" ref="S132">_xlfn.IFS(L132&gt;5,"high",L132=5,"medium",L132&lt;5,"low")</f>
        <v>high</v>
      </c>
      <c r="T132" s="10" t="str">
        <f t="shared" si="13"/>
        <v>high</v>
      </c>
      <c r="U132" s="1">
        <f t="shared" si="14"/>
        <v>13296.15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0</v>
      </c>
      <c r="Q133" s="1">
        <f t="shared" si="11"/>
        <v>12614.92</v>
      </c>
      <c r="R133" s="1" t="str">
        <f t="shared" si="12"/>
        <v>low</v>
      </c>
      <c r="S133" s="1" t="str" cm="1">
        <f t="array" ref="S133">_xlfn.IFS(L133&gt;5,"high",L133=5,"medium",L133&lt;5,"low")</f>
        <v>low</v>
      </c>
      <c r="T133" s="10" t="str">
        <f t="shared" si="13"/>
        <v>low</v>
      </c>
      <c r="U133" s="1">
        <f t="shared" si="14"/>
        <v>12614.92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0</v>
      </c>
      <c r="Q134" s="1">
        <f t="shared" si="11"/>
        <v>3990.85</v>
      </c>
      <c r="R134" s="1" t="str">
        <f t="shared" si="12"/>
        <v>low</v>
      </c>
      <c r="S134" s="1" t="str" cm="1">
        <f t="array" ref="S134">_xlfn.IFS(L134&gt;5,"high",L134=5,"medium",L134&lt;5,"low")</f>
        <v>low</v>
      </c>
      <c r="T134" s="10" t="str">
        <f t="shared" si="13"/>
        <v>low</v>
      </c>
      <c r="U134" s="1">
        <f t="shared" si="14"/>
        <v>3990.85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903.57749999999999</v>
      </c>
      <c r="Q135" s="1">
        <f t="shared" si="11"/>
        <v>5120.2725</v>
      </c>
      <c r="R135" s="1" t="str">
        <f t="shared" si="12"/>
        <v>high</v>
      </c>
      <c r="S135" s="1" t="str" cm="1">
        <f t="array" ref="S135">_xlfn.IFS(L135&gt;5,"high",L135=5,"medium",L135&lt;5,"low")</f>
        <v>high</v>
      </c>
      <c r="T135" s="10" t="str">
        <f t="shared" si="13"/>
        <v>high</v>
      </c>
      <c r="U135" s="1">
        <f t="shared" si="14"/>
        <v>7086.88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547.10299999999995</v>
      </c>
      <c r="Q136" s="1">
        <f t="shared" si="11"/>
        <v>10394.957</v>
      </c>
      <c r="R136" s="1" t="str">
        <f t="shared" si="12"/>
        <v>high</v>
      </c>
      <c r="S136" s="1" t="str" cm="1">
        <f t="array" ref="S136">_xlfn.IFS(L136&gt;5,"high",L136=5,"medium",L136&lt;5,"low")</f>
        <v>high</v>
      </c>
      <c r="T136" s="10" t="str">
        <f t="shared" si="13"/>
        <v>high</v>
      </c>
      <c r="U136" s="1">
        <f t="shared" si="14"/>
        <v>11517.960000000001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0</v>
      </c>
      <c r="Q137" s="1">
        <f t="shared" si="11"/>
        <v>10855.74</v>
      </c>
      <c r="R137" s="1" t="str">
        <f t="shared" si="12"/>
        <v>high</v>
      </c>
      <c r="S137" s="1" t="str" cm="1">
        <f t="array" ref="S137">_xlfn.IFS(L137&gt;5,"high",L137=5,"medium",L137&lt;5,"low")</f>
        <v>high</v>
      </c>
      <c r="T137" s="10" t="str">
        <f t="shared" si="13"/>
        <v>high</v>
      </c>
      <c r="U137" s="1">
        <f t="shared" si="14"/>
        <v>10855.74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337.18649999999997</v>
      </c>
      <c r="Q138" s="1">
        <f t="shared" si="11"/>
        <v>1910.7234999999998</v>
      </c>
      <c r="R138" s="1" t="str">
        <f t="shared" si="12"/>
        <v>low</v>
      </c>
      <c r="S138" s="1" t="str" cm="1">
        <f t="array" ref="S138">_xlfn.IFS(L138&gt;5,"high",L138=5,"medium",L138&lt;5,"low")</f>
        <v>low</v>
      </c>
      <c r="T138" s="10" t="str">
        <f t="shared" si="13"/>
        <v>low</v>
      </c>
      <c r="U138" s="1">
        <f t="shared" si="14"/>
        <v>2644.6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0</v>
      </c>
      <c r="Q139" s="1">
        <f t="shared" si="11"/>
        <v>912.67</v>
      </c>
      <c r="R139" s="1" t="str">
        <f t="shared" si="12"/>
        <v>low</v>
      </c>
      <c r="S139" s="1" t="str" cm="1">
        <f t="array" ref="S139">_xlfn.IFS(L139&gt;5,"high",L139=5,"medium",L139&lt;5,"low")</f>
        <v>low</v>
      </c>
      <c r="T139" s="10" t="str">
        <f t="shared" si="13"/>
        <v>low</v>
      </c>
      <c r="U139" s="1">
        <f t="shared" si="14"/>
        <v>912.67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72.524000000000001</v>
      </c>
      <c r="Q140" s="1">
        <f t="shared" si="11"/>
        <v>652.71600000000001</v>
      </c>
      <c r="R140" s="1" t="str">
        <f t="shared" si="12"/>
        <v>low</v>
      </c>
      <c r="S140" s="1" t="str" cm="1">
        <f t="array" ref="S140">_xlfn.IFS(L140&gt;5,"high",L140=5,"medium",L140&lt;5,"low")</f>
        <v>low</v>
      </c>
      <c r="T140" s="10" t="str">
        <f t="shared" si="13"/>
        <v>low</v>
      </c>
      <c r="U140" s="1">
        <f t="shared" si="14"/>
        <v>805.82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2281.8620000000001</v>
      </c>
      <c r="Q141" s="1">
        <f t="shared" si="11"/>
        <v>9127.4480000000003</v>
      </c>
      <c r="R141" s="1" t="str">
        <f t="shared" si="12"/>
        <v>low</v>
      </c>
      <c r="S141" s="1" t="str" cm="1">
        <f t="array" ref="S141">_xlfn.IFS(L141&gt;5,"high",L141=5,"medium",L141&lt;5,"low")</f>
        <v>low</v>
      </c>
      <c r="T141" s="10" t="str">
        <f t="shared" si="13"/>
        <v>low</v>
      </c>
      <c r="U141" s="1">
        <f t="shared" si="14"/>
        <v>14261.64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317.95600000000002</v>
      </c>
      <c r="Q142" s="1">
        <f t="shared" si="11"/>
        <v>2861.6039999999998</v>
      </c>
      <c r="R142" s="1" t="str">
        <f t="shared" si="12"/>
        <v>low</v>
      </c>
      <c r="S142" s="1" t="str" cm="1">
        <f t="array" ref="S142">_xlfn.IFS(L142&gt;5,"high",L142=5,"medium",L142&lt;5,"low")</f>
        <v>low</v>
      </c>
      <c r="T142" s="10" t="str">
        <f t="shared" si="13"/>
        <v>low</v>
      </c>
      <c r="U142" s="1">
        <f t="shared" si="14"/>
        <v>3532.84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0</v>
      </c>
      <c r="Q143" s="1">
        <f t="shared" si="11"/>
        <v>2063.0500000000002</v>
      </c>
      <c r="R143" s="1" t="str">
        <f t="shared" si="12"/>
        <v>low</v>
      </c>
      <c r="S143" s="1" t="str" cm="1">
        <f t="array" ref="S143">_xlfn.IFS(L143&gt;5,"high",L143=5,"medium",L143&lt;5,"low")</f>
        <v>low</v>
      </c>
      <c r="T143" s="10" t="str">
        <f t="shared" si="13"/>
        <v>low</v>
      </c>
      <c r="U143" s="1">
        <f t="shared" si="14"/>
        <v>2063.0500000000002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1223.6765</v>
      </c>
      <c r="Q144" s="1">
        <f t="shared" si="11"/>
        <v>23249.853499999997</v>
      </c>
      <c r="R144" s="1" t="str">
        <f t="shared" si="12"/>
        <v>high</v>
      </c>
      <c r="S144" s="1" t="str" cm="1">
        <f t="array" ref="S144">_xlfn.IFS(L144&gt;5,"high",L144=5,"medium",L144&lt;5,"low")</f>
        <v>high</v>
      </c>
      <c r="T144" s="10" t="str">
        <f t="shared" si="13"/>
        <v>high</v>
      </c>
      <c r="U144" s="1">
        <f t="shared" si="14"/>
        <v>25761.61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4017.5620000000004</v>
      </c>
      <c r="Q145" s="1">
        <f t="shared" si="11"/>
        <v>16070.248000000001</v>
      </c>
      <c r="R145" s="1" t="str">
        <f t="shared" si="12"/>
        <v>high</v>
      </c>
      <c r="S145" s="1" t="str" cm="1">
        <f t="array" ref="S145">_xlfn.IFS(L145&gt;5,"high",L145=5,"medium",L145&lt;5,"low")</f>
        <v>high</v>
      </c>
      <c r="T145" s="10" t="str">
        <f t="shared" si="13"/>
        <v>high</v>
      </c>
      <c r="U145" s="1">
        <f t="shared" si="14"/>
        <v>25109.759999999998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352.31200000000001</v>
      </c>
      <c r="Q146" s="1">
        <f t="shared" si="11"/>
        <v>3170.808</v>
      </c>
      <c r="R146" s="1" t="str">
        <f t="shared" si="12"/>
        <v>high</v>
      </c>
      <c r="S146" s="1" t="str" cm="1">
        <f t="array" ref="S146">_xlfn.IFS(L146&gt;5,"high",L146=5,"medium",L146&lt;5,"low")</f>
        <v>high</v>
      </c>
      <c r="T146" s="10" t="str">
        <f t="shared" si="13"/>
        <v>high</v>
      </c>
      <c r="U146" s="1">
        <f t="shared" si="14"/>
        <v>3914.58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1186.704</v>
      </c>
      <c r="Q147" s="1">
        <f t="shared" si="11"/>
        <v>6724.6559999999999</v>
      </c>
      <c r="R147" s="1" t="str">
        <f t="shared" si="12"/>
        <v>low</v>
      </c>
      <c r="S147" s="1" t="str" cm="1">
        <f t="array" ref="S147">_xlfn.IFS(L147&gt;5,"high",L147=5,"medium",L147&lt;5,"low")</f>
        <v>low</v>
      </c>
      <c r="T147" s="10" t="str">
        <f t="shared" si="13"/>
        <v>low</v>
      </c>
      <c r="U147" s="1">
        <f t="shared" si="14"/>
        <v>9307.48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528.01099999999997</v>
      </c>
      <c r="Q148" s="1">
        <f t="shared" si="11"/>
        <v>10032.208999999999</v>
      </c>
      <c r="R148" s="1" t="str">
        <f t="shared" si="12"/>
        <v>high</v>
      </c>
      <c r="S148" s="1" t="str" cm="1">
        <f t="array" ref="S148">_xlfn.IFS(L148&gt;5,"high",L148=5,"medium",L148&lt;5,"low")</f>
        <v>high</v>
      </c>
      <c r="T148" s="10" t="str">
        <f t="shared" si="13"/>
        <v>high</v>
      </c>
      <c r="U148" s="1">
        <f t="shared" si="14"/>
        <v>11116.02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869.2</v>
      </c>
      <c r="Q149" s="1">
        <f t="shared" si="11"/>
        <v>7822.8</v>
      </c>
      <c r="R149" s="1" t="str">
        <f t="shared" si="12"/>
        <v>low</v>
      </c>
      <c r="S149" s="1" t="str" cm="1">
        <f t="array" ref="S149">_xlfn.IFS(L149&gt;5,"high",L149=5,"medium",L149&lt;5,"low")</f>
        <v>low</v>
      </c>
      <c r="T149" s="10" t="str">
        <f t="shared" si="13"/>
        <v>low</v>
      </c>
      <c r="U149" s="1">
        <f t="shared" si="14"/>
        <v>9657.7800000000007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2997.0659999999998</v>
      </c>
      <c r="Q150" s="1">
        <f t="shared" si="11"/>
        <v>16983.374</v>
      </c>
      <c r="R150" s="1" t="str">
        <f t="shared" si="12"/>
        <v>high</v>
      </c>
      <c r="S150" s="1" t="str" cm="1">
        <f t="array" ref="S150">_xlfn.IFS(L150&gt;5,"high",L150=5,"medium",L150&lt;5,"low")</f>
        <v>high</v>
      </c>
      <c r="T150" s="10" t="str">
        <f t="shared" si="13"/>
        <v>high</v>
      </c>
      <c r="U150" s="1">
        <f t="shared" si="14"/>
        <v>23506.400000000001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0</v>
      </c>
      <c r="Q151" s="1">
        <f t="shared" si="11"/>
        <v>5616.12</v>
      </c>
      <c r="R151" s="1" t="str">
        <f t="shared" si="12"/>
        <v>low</v>
      </c>
      <c r="S151" s="1" t="str" cm="1">
        <f t="array" ref="S151">_xlfn.IFS(L151&gt;5,"high",L151=5,"medium",L151&lt;5,"low")</f>
        <v>low</v>
      </c>
      <c r="T151" s="10" t="str">
        <f t="shared" si="13"/>
        <v>low</v>
      </c>
      <c r="U151" s="1">
        <f t="shared" si="14"/>
        <v>5616.12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931.452</v>
      </c>
      <c r="Q152" s="1">
        <f t="shared" si="11"/>
        <v>5278.2280000000001</v>
      </c>
      <c r="R152" s="1" t="str">
        <f t="shared" si="12"/>
        <v>high</v>
      </c>
      <c r="S152" s="1" t="str" cm="1">
        <f t="array" ref="S152">_xlfn.IFS(L152&gt;5,"high",L152=5,"medium",L152&lt;5,"low")</f>
        <v>medium</v>
      </c>
      <c r="T152" s="10" t="str">
        <f t="shared" si="13"/>
        <v>medium</v>
      </c>
      <c r="U152" s="1">
        <f t="shared" si="14"/>
        <v>7305.5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292.42</v>
      </c>
      <c r="Q153" s="1">
        <f t="shared" si="11"/>
        <v>2631.7799999999997</v>
      </c>
      <c r="R153" s="1" t="str">
        <f t="shared" si="12"/>
        <v>low</v>
      </c>
      <c r="S153" s="1" t="str" cm="1">
        <f t="array" ref="S153">_xlfn.IFS(L153&gt;5,"high",L153=5,"medium",L153&lt;5,"low")</f>
        <v>low</v>
      </c>
      <c r="T153" s="10" t="str">
        <f t="shared" si="13"/>
        <v>low</v>
      </c>
      <c r="U153" s="1">
        <f t="shared" si="14"/>
        <v>3249.11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189.923</v>
      </c>
      <c r="Q154" s="1">
        <f t="shared" si="11"/>
        <v>1709.307</v>
      </c>
      <c r="R154" s="1" t="str">
        <f t="shared" si="12"/>
        <v>high</v>
      </c>
      <c r="S154" s="1" t="str" cm="1">
        <f t="array" ref="S154">_xlfn.IFS(L154&gt;5,"high",L154=5,"medium",L154&lt;5,"low")</f>
        <v>high</v>
      </c>
      <c r="T154" s="10" t="str">
        <f t="shared" si="13"/>
        <v>high</v>
      </c>
      <c r="U154" s="1">
        <f t="shared" si="14"/>
        <v>2110.2599999999998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0</v>
      </c>
      <c r="Q155" s="1">
        <f t="shared" si="11"/>
        <v>1529.12</v>
      </c>
      <c r="R155" s="1" t="str">
        <f t="shared" si="12"/>
        <v>low</v>
      </c>
      <c r="S155" s="1" t="str" cm="1">
        <f t="array" ref="S155">_xlfn.IFS(L155&gt;5,"high",L155=5,"medium",L155&lt;5,"low")</f>
        <v>low</v>
      </c>
      <c r="T155" s="10" t="str">
        <f t="shared" si="13"/>
        <v>low</v>
      </c>
      <c r="U155" s="1">
        <f t="shared" si="14"/>
        <v>1529.12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735.49650000000008</v>
      </c>
      <c r="Q156" s="1">
        <f t="shared" si="11"/>
        <v>4167.8135000000002</v>
      </c>
      <c r="R156" s="1" t="str">
        <f t="shared" si="12"/>
        <v>low</v>
      </c>
      <c r="S156" s="1" t="str" cm="1">
        <f t="array" ref="S156">_xlfn.IFS(L156&gt;5,"high",L156=5,"medium",L156&lt;5,"low")</f>
        <v>low</v>
      </c>
      <c r="T156" s="10" t="str">
        <f t="shared" si="13"/>
        <v>low</v>
      </c>
      <c r="U156" s="1">
        <f t="shared" si="14"/>
        <v>5768.6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340.96799999999996</v>
      </c>
      <c r="Q157" s="1">
        <f t="shared" si="11"/>
        <v>1932.152</v>
      </c>
      <c r="R157" s="1" t="str">
        <f t="shared" si="12"/>
        <v>high</v>
      </c>
      <c r="S157" s="1" t="str" cm="1">
        <f t="array" ref="S157">_xlfn.IFS(L157&gt;5,"high",L157=5,"medium",L157&lt;5,"low")</f>
        <v>high</v>
      </c>
      <c r="T157" s="10" t="str">
        <f t="shared" si="13"/>
        <v>high</v>
      </c>
      <c r="U157" s="1">
        <f t="shared" si="14"/>
        <v>2674.2599999999998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0</v>
      </c>
      <c r="Q158" s="1">
        <f t="shared" si="11"/>
        <v>8437.84</v>
      </c>
      <c r="R158" s="1" t="str">
        <f t="shared" si="12"/>
        <v>high</v>
      </c>
      <c r="S158" s="1" t="str" cm="1">
        <f t="array" ref="S158">_xlfn.IFS(L158&gt;5,"high",L158=5,"medium",L158&lt;5,"low")</f>
        <v>high</v>
      </c>
      <c r="T158" s="10" t="str">
        <f t="shared" si="13"/>
        <v>high</v>
      </c>
      <c r="U158" s="1">
        <f t="shared" si="14"/>
        <v>8437.84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3413.0009999999997</v>
      </c>
      <c r="Q159" s="1">
        <f t="shared" si="11"/>
        <v>19340.339</v>
      </c>
      <c r="R159" s="1" t="str">
        <f t="shared" si="12"/>
        <v>high</v>
      </c>
      <c r="S159" s="1" t="str" cm="1">
        <f t="array" ref="S159">_xlfn.IFS(L159&gt;5,"high",L159=5,"medium",L159&lt;5,"low")</f>
        <v>high</v>
      </c>
      <c r="T159" s="10" t="str">
        <f t="shared" si="13"/>
        <v>high</v>
      </c>
      <c r="U159" s="1">
        <f t="shared" si="14"/>
        <v>26768.639999999999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0</v>
      </c>
      <c r="Q160" s="1">
        <f t="shared" si="11"/>
        <v>22804.62</v>
      </c>
      <c r="R160" s="1" t="str">
        <f t="shared" si="12"/>
        <v>high</v>
      </c>
      <c r="S160" s="1" t="str" cm="1">
        <f t="array" ref="S160">_xlfn.IFS(L160&gt;5,"high",L160=5,"medium",L160&lt;5,"low")</f>
        <v>high</v>
      </c>
      <c r="T160" s="10" t="str">
        <f t="shared" si="13"/>
        <v>high</v>
      </c>
      <c r="U160" s="1">
        <f t="shared" si="14"/>
        <v>22804.62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251.31700000000001</v>
      </c>
      <c r="Q161" s="1">
        <f t="shared" si="11"/>
        <v>4775.0230000000001</v>
      </c>
      <c r="R161" s="1" t="str">
        <f t="shared" si="12"/>
        <v>low</v>
      </c>
      <c r="S161" s="1" t="str" cm="1">
        <f t="array" ref="S161">_xlfn.IFS(L161&gt;5,"high",L161=5,"medium",L161&lt;5,"low")</f>
        <v>low</v>
      </c>
      <c r="T161" s="10" t="str">
        <f t="shared" si="13"/>
        <v>low</v>
      </c>
      <c r="U161" s="1">
        <f t="shared" si="14"/>
        <v>5290.88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841.24099999999999</v>
      </c>
      <c r="Q162" s="1">
        <f t="shared" si="11"/>
        <v>7571.1689999999999</v>
      </c>
      <c r="R162" s="1" t="str">
        <f t="shared" si="12"/>
        <v>high</v>
      </c>
      <c r="S162" s="1" t="str" cm="1">
        <f t="array" ref="S162">_xlfn.IFS(L162&gt;5,"high",L162=5,"medium",L162&lt;5,"low")</f>
        <v>high</v>
      </c>
      <c r="T162" s="10" t="str">
        <f t="shared" si="13"/>
        <v>high</v>
      </c>
      <c r="U162" s="1">
        <f t="shared" si="14"/>
        <v>9347.1200000000008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466.48400000000004</v>
      </c>
      <c r="Q163" s="1">
        <f t="shared" si="11"/>
        <v>8863.1959999999999</v>
      </c>
      <c r="R163" s="1" t="str">
        <f t="shared" si="12"/>
        <v>high</v>
      </c>
      <c r="S163" s="1" t="str" cm="1">
        <f t="array" ref="S163">_xlfn.IFS(L163&gt;5,"high",L163=5,"medium",L163&lt;5,"low")</f>
        <v>high</v>
      </c>
      <c r="T163" s="10" t="str">
        <f t="shared" si="13"/>
        <v>high</v>
      </c>
      <c r="U163" s="1">
        <f t="shared" si="14"/>
        <v>9820.7199999999993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195.07600000000002</v>
      </c>
      <c r="Q164" s="1">
        <f t="shared" si="11"/>
        <v>780.30399999999997</v>
      </c>
      <c r="R164" s="1" t="str">
        <f t="shared" si="12"/>
        <v>low</v>
      </c>
      <c r="S164" s="1" t="str" cm="1">
        <f t="array" ref="S164">_xlfn.IFS(L164&gt;5,"high",L164=5,"medium",L164&lt;5,"low")</f>
        <v>low</v>
      </c>
      <c r="T164" s="10" t="str">
        <f t="shared" si="13"/>
        <v>low</v>
      </c>
      <c r="U164" s="1">
        <f t="shared" si="14"/>
        <v>1219.22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184.53200000000001</v>
      </c>
      <c r="Q165" s="1">
        <f t="shared" si="11"/>
        <v>738.12799999999993</v>
      </c>
      <c r="R165" s="1" t="str">
        <f t="shared" si="12"/>
        <v>low</v>
      </c>
      <c r="S165" s="1" t="str" cm="1">
        <f t="array" ref="S165">_xlfn.IFS(L165&gt;5,"high",L165=5,"medium",L165&lt;5,"low")</f>
        <v>low</v>
      </c>
      <c r="T165" s="10" t="str">
        <f t="shared" si="13"/>
        <v>low</v>
      </c>
      <c r="U165" s="1">
        <f t="shared" si="14"/>
        <v>1153.32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2379.9240000000004</v>
      </c>
      <c r="Q166" s="1">
        <f t="shared" si="11"/>
        <v>9519.6959999999999</v>
      </c>
      <c r="R166" s="1" t="str">
        <f t="shared" si="12"/>
        <v>low</v>
      </c>
      <c r="S166" s="1" t="str" cm="1">
        <f t="array" ref="S166">_xlfn.IFS(L166&gt;5,"high",L166=5,"medium",L166&lt;5,"low")</f>
        <v>low</v>
      </c>
      <c r="T166" s="10" t="str">
        <f t="shared" si="13"/>
        <v>low</v>
      </c>
      <c r="U166" s="1">
        <f t="shared" si="14"/>
        <v>14874.52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0</v>
      </c>
      <c r="Q167" s="1">
        <f t="shared" si="11"/>
        <v>6809.18</v>
      </c>
      <c r="R167" s="1" t="str">
        <f t="shared" si="12"/>
        <v>high</v>
      </c>
      <c r="S167" s="1" t="str" cm="1">
        <f t="array" ref="S167">_xlfn.IFS(L167&gt;5,"high",L167=5,"medium",L167&lt;5,"low")</f>
        <v>high</v>
      </c>
      <c r="T167" s="10" t="str">
        <f t="shared" si="13"/>
        <v>high</v>
      </c>
      <c r="U167" s="1">
        <f t="shared" si="14"/>
        <v>6809.18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1577.0654999999999</v>
      </c>
      <c r="Q168" s="1">
        <f t="shared" si="11"/>
        <v>8936.7044999999998</v>
      </c>
      <c r="R168" s="1" t="str">
        <f t="shared" si="12"/>
        <v>high</v>
      </c>
      <c r="S168" s="1" t="str" cm="1">
        <f t="array" ref="S168">_xlfn.IFS(L168&gt;5,"high",L168=5,"medium",L168&lt;5,"low")</f>
        <v>high</v>
      </c>
      <c r="T168" s="10" t="str">
        <f t="shared" si="13"/>
        <v>high</v>
      </c>
      <c r="U168" s="1">
        <f t="shared" si="14"/>
        <v>12369.14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71.17</v>
      </c>
      <c r="Q169" s="1">
        <f t="shared" si="11"/>
        <v>1352.23</v>
      </c>
      <c r="R169" s="1" t="str">
        <f t="shared" si="12"/>
        <v>high</v>
      </c>
      <c r="S169" s="1" t="str" cm="1">
        <f t="array" ref="S169">_xlfn.IFS(L169&gt;5,"high",L169=5,"medium",L169&lt;5,"low")</f>
        <v>high</v>
      </c>
      <c r="T169" s="10" t="str">
        <f t="shared" si="13"/>
        <v>high</v>
      </c>
      <c r="U169" s="1">
        <f t="shared" si="14"/>
        <v>1498.32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820.11850000000004</v>
      </c>
      <c r="Q170" s="1">
        <f t="shared" si="11"/>
        <v>15582.251499999998</v>
      </c>
      <c r="R170" s="1" t="str">
        <f t="shared" si="12"/>
        <v>high</v>
      </c>
      <c r="S170" s="1" t="str" cm="1">
        <f t="array" ref="S170">_xlfn.IFS(L170&gt;5,"high",L170=5,"medium",L170&lt;5,"low")</f>
        <v>medium</v>
      </c>
      <c r="T170" s="10" t="str">
        <f t="shared" si="13"/>
        <v>medium</v>
      </c>
      <c r="U170" s="1">
        <f t="shared" si="14"/>
        <v>17265.650000000001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985.84900000000005</v>
      </c>
      <c r="Q171" s="1">
        <f t="shared" si="11"/>
        <v>18731.131000000001</v>
      </c>
      <c r="R171" s="1" t="str">
        <f t="shared" si="12"/>
        <v>high</v>
      </c>
      <c r="S171" s="1" t="str" cm="1">
        <f t="array" ref="S171">_xlfn.IFS(L171&gt;5,"high",L171=5,"medium",L171&lt;5,"low")</f>
        <v>high</v>
      </c>
      <c r="T171" s="10" t="str">
        <f t="shared" si="13"/>
        <v>high</v>
      </c>
      <c r="U171" s="1">
        <f t="shared" si="14"/>
        <v>20754.72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1442.1040000000003</v>
      </c>
      <c r="Q172" s="1">
        <f t="shared" si="11"/>
        <v>27399.976000000002</v>
      </c>
      <c r="R172" s="1" t="str">
        <f t="shared" si="12"/>
        <v>high</v>
      </c>
      <c r="S172" s="1" t="str" cm="1">
        <f t="array" ref="S172">_xlfn.IFS(L172&gt;5,"high",L172=5,"medium",L172&lt;5,"low")</f>
        <v>high</v>
      </c>
      <c r="T172" s="10" t="str">
        <f t="shared" si="13"/>
        <v>high</v>
      </c>
      <c r="U172" s="1">
        <f t="shared" si="14"/>
        <v>30360.080000000002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4549.2760000000007</v>
      </c>
      <c r="Q173" s="1">
        <f t="shared" si="11"/>
        <v>18197.103999999999</v>
      </c>
      <c r="R173" s="1" t="str">
        <f t="shared" si="12"/>
        <v>high</v>
      </c>
      <c r="S173" s="1" t="str" cm="1">
        <f t="array" ref="S173">_xlfn.IFS(L173&gt;5,"high",L173=5,"medium",L173&lt;5,"low")</f>
        <v>high</v>
      </c>
      <c r="T173" s="10" t="str">
        <f t="shared" si="13"/>
        <v>high</v>
      </c>
      <c r="U173" s="1">
        <f t="shared" si="14"/>
        <v>28432.98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193.482</v>
      </c>
      <c r="Q174" s="1">
        <f t="shared" si="11"/>
        <v>3676.1579999999999</v>
      </c>
      <c r="R174" s="1" t="str">
        <f t="shared" si="12"/>
        <v>low</v>
      </c>
      <c r="S174" s="1" t="str" cm="1">
        <f t="array" ref="S174">_xlfn.IFS(L174&gt;5,"high",L174=5,"medium",L174&lt;5,"low")</f>
        <v>low</v>
      </c>
      <c r="T174" s="10" t="str">
        <f t="shared" si="13"/>
        <v>low</v>
      </c>
      <c r="U174" s="1">
        <f t="shared" si="14"/>
        <v>4073.31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422.39849999999996</v>
      </c>
      <c r="Q175" s="1">
        <f t="shared" si="11"/>
        <v>2393.5915</v>
      </c>
      <c r="R175" s="1" t="str">
        <f t="shared" si="12"/>
        <v>low</v>
      </c>
      <c r="S175" s="1" t="str" cm="1">
        <f t="array" ref="S175">_xlfn.IFS(L175&gt;5,"high",L175=5,"medium",L175&lt;5,"low")</f>
        <v>low</v>
      </c>
      <c r="T175" s="10" t="str">
        <f t="shared" si="13"/>
        <v>low</v>
      </c>
      <c r="U175" s="1">
        <f t="shared" si="14"/>
        <v>3312.93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1815.1740000000002</v>
      </c>
      <c r="Q176" s="1">
        <f t="shared" si="11"/>
        <v>7260.6960000000008</v>
      </c>
      <c r="R176" s="1" t="str">
        <f t="shared" si="12"/>
        <v>low</v>
      </c>
      <c r="S176" s="1" t="str" cm="1">
        <f t="array" ref="S176">_xlfn.IFS(L176&gt;5,"high",L176=5,"medium",L176&lt;5,"low")</f>
        <v>low</v>
      </c>
      <c r="T176" s="10" t="str">
        <f t="shared" si="13"/>
        <v>low</v>
      </c>
      <c r="U176" s="1">
        <f t="shared" si="14"/>
        <v>11344.84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368.55950000000001</v>
      </c>
      <c r="Q177" s="1">
        <f t="shared" si="11"/>
        <v>7002.6304999999993</v>
      </c>
      <c r="R177" s="1" t="str">
        <f t="shared" si="12"/>
        <v>high</v>
      </c>
      <c r="S177" s="1" t="str" cm="1">
        <f t="array" ref="S177">_xlfn.IFS(L177&gt;5,"high",L177=5,"medium",L177&lt;5,"low")</f>
        <v>medium</v>
      </c>
      <c r="T177" s="10" t="str">
        <f t="shared" si="13"/>
        <v>medium</v>
      </c>
      <c r="U177" s="1">
        <f t="shared" si="14"/>
        <v>7759.15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0</v>
      </c>
      <c r="Q178" s="1">
        <f t="shared" si="11"/>
        <v>2329.9299999999998</v>
      </c>
      <c r="R178" s="1" t="str">
        <f t="shared" si="12"/>
        <v>low</v>
      </c>
      <c r="S178" s="1" t="str" cm="1">
        <f t="array" ref="S178">_xlfn.IFS(L178&gt;5,"high",L178=5,"medium",L178&lt;5,"low")</f>
        <v>low</v>
      </c>
      <c r="T178" s="10" t="str">
        <f t="shared" si="13"/>
        <v>low</v>
      </c>
      <c r="U178" s="1">
        <f t="shared" si="14"/>
        <v>2329.9299999999998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109.67700000000001</v>
      </c>
      <c r="Q179" s="1">
        <f t="shared" si="11"/>
        <v>987.09299999999996</v>
      </c>
      <c r="R179" s="1" t="str">
        <f t="shared" si="12"/>
        <v>high</v>
      </c>
      <c r="S179" s="1" t="str" cm="1">
        <f t="array" ref="S179">_xlfn.IFS(L179&gt;5,"high",L179=5,"medium",L179&lt;5,"low")</f>
        <v>high</v>
      </c>
      <c r="T179" s="10" t="str">
        <f t="shared" si="13"/>
        <v>high</v>
      </c>
      <c r="U179" s="1">
        <f t="shared" si="14"/>
        <v>1218.6300000000001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314.49099999999999</v>
      </c>
      <c r="Q180" s="1">
        <f t="shared" si="11"/>
        <v>2830.4189999999999</v>
      </c>
      <c r="R180" s="1" t="str">
        <f t="shared" si="12"/>
        <v>high</v>
      </c>
      <c r="S180" s="1" t="str" cm="1">
        <f t="array" ref="S180">_xlfn.IFS(L180&gt;5,"high",L180=5,"medium",L180&lt;5,"low")</f>
        <v>high</v>
      </c>
      <c r="T180" s="10" t="str">
        <f t="shared" si="13"/>
        <v>high</v>
      </c>
      <c r="U180" s="1">
        <f t="shared" si="14"/>
        <v>3494.34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1592.0420000000001</v>
      </c>
      <c r="Q181" s="1">
        <f t="shared" si="11"/>
        <v>14328.378000000001</v>
      </c>
      <c r="R181" s="1" t="str">
        <f t="shared" si="12"/>
        <v>high</v>
      </c>
      <c r="S181" s="1" t="str" cm="1">
        <f t="array" ref="S181">_xlfn.IFS(L181&gt;5,"high",L181=5,"medium",L181&lt;5,"low")</f>
        <v>high</v>
      </c>
      <c r="T181" s="10" t="str">
        <f t="shared" si="13"/>
        <v>high</v>
      </c>
      <c r="U181" s="1">
        <f t="shared" si="14"/>
        <v>17689.36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1863.5040000000001</v>
      </c>
      <c r="Q182" s="1">
        <f t="shared" si="11"/>
        <v>7454.0160000000005</v>
      </c>
      <c r="R182" s="1" t="str">
        <f t="shared" si="12"/>
        <v>high</v>
      </c>
      <c r="S182" s="1" t="str" cm="1">
        <f t="array" ref="S182">_xlfn.IFS(L182&gt;5,"high",L182=5,"medium",L182&lt;5,"low")</f>
        <v>medium</v>
      </c>
      <c r="T182" s="10" t="str">
        <f t="shared" si="13"/>
        <v>medium</v>
      </c>
      <c r="U182" s="1">
        <f t="shared" si="14"/>
        <v>11646.900000000001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578.18700000000001</v>
      </c>
      <c r="Q183" s="1">
        <f t="shared" si="11"/>
        <v>10985.553</v>
      </c>
      <c r="R183" s="1" t="str">
        <f t="shared" si="12"/>
        <v>low</v>
      </c>
      <c r="S183" s="1" t="str" cm="1">
        <f t="array" ref="S183">_xlfn.IFS(L183&gt;5,"high",L183=5,"medium",L183&lt;5,"low")</f>
        <v>low</v>
      </c>
      <c r="T183" s="10" t="str">
        <f t="shared" si="13"/>
        <v>low</v>
      </c>
      <c r="U183" s="1">
        <f t="shared" si="14"/>
        <v>12172.36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737.03800000000001</v>
      </c>
      <c r="Q184" s="1">
        <f t="shared" si="11"/>
        <v>2948.152</v>
      </c>
      <c r="R184" s="1" t="str">
        <f t="shared" si="12"/>
        <v>high</v>
      </c>
      <c r="S184" s="1" t="str" cm="1">
        <f t="array" ref="S184">_xlfn.IFS(L184&gt;5,"high",L184=5,"medium",L184&lt;5,"low")</f>
        <v>high</v>
      </c>
      <c r="T184" s="10" t="str">
        <f t="shared" si="13"/>
        <v>high</v>
      </c>
      <c r="U184" s="1">
        <f t="shared" si="14"/>
        <v>4606.4900000000007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1355.1659999999999</v>
      </c>
      <c r="Q185" s="1">
        <f t="shared" si="11"/>
        <v>7679.2740000000003</v>
      </c>
      <c r="R185" s="1" t="str">
        <f t="shared" si="12"/>
        <v>high</v>
      </c>
      <c r="S185" s="1" t="str" cm="1">
        <f t="array" ref="S185">_xlfn.IFS(L185&gt;5,"high",L185=5,"medium",L185&lt;5,"low")</f>
        <v>medium</v>
      </c>
      <c r="T185" s="10" t="str">
        <f t="shared" si="13"/>
        <v>medium</v>
      </c>
      <c r="U185" s="1">
        <f t="shared" si="14"/>
        <v>10628.75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0</v>
      </c>
      <c r="Q186" s="1">
        <f t="shared" si="11"/>
        <v>6290.34</v>
      </c>
      <c r="R186" s="1" t="str">
        <f t="shared" si="12"/>
        <v>high</v>
      </c>
      <c r="S186" s="1" t="str" cm="1">
        <f t="array" ref="S186">_xlfn.IFS(L186&gt;5,"high",L186=5,"medium",L186&lt;5,"low")</f>
        <v>high</v>
      </c>
      <c r="T186" s="10" t="str">
        <f t="shared" si="13"/>
        <v>high</v>
      </c>
      <c r="U186" s="1">
        <f t="shared" si="14"/>
        <v>6290.34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0</v>
      </c>
      <c r="Q187" s="1">
        <f t="shared" si="11"/>
        <v>508.81</v>
      </c>
      <c r="R187" s="1" t="str">
        <f t="shared" si="12"/>
        <v>low</v>
      </c>
      <c r="S187" s="1" t="str" cm="1">
        <f t="array" ref="S187">_xlfn.IFS(L187&gt;5,"high",L187=5,"medium",L187&lt;5,"low")</f>
        <v>low</v>
      </c>
      <c r="T187" s="10" t="str">
        <f t="shared" si="13"/>
        <v>low</v>
      </c>
      <c r="U187" s="1">
        <f t="shared" si="14"/>
        <v>508.81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155.73699999999999</v>
      </c>
      <c r="Q188" s="1">
        <f t="shared" si="11"/>
        <v>1401.6329999999998</v>
      </c>
      <c r="R188" s="1" t="str">
        <f t="shared" si="12"/>
        <v>low</v>
      </c>
      <c r="S188" s="1" t="str" cm="1">
        <f t="array" ref="S188">_xlfn.IFS(L188&gt;5,"high",L188=5,"medium",L188&lt;5,"low")</f>
        <v>low</v>
      </c>
      <c r="T188" s="10" t="str">
        <f t="shared" si="13"/>
        <v>low</v>
      </c>
      <c r="U188" s="1">
        <f t="shared" si="14"/>
        <v>1730.41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210.28899999999999</v>
      </c>
      <c r="Q189" s="1">
        <f t="shared" si="11"/>
        <v>1892.6009999999999</v>
      </c>
      <c r="R189" s="1" t="str">
        <f t="shared" si="12"/>
        <v>low</v>
      </c>
      <c r="S189" s="1" t="str" cm="1">
        <f t="array" ref="S189">_xlfn.IFS(L189&gt;5,"high",L189=5,"medium",L189&lt;5,"low")</f>
        <v>low</v>
      </c>
      <c r="T189" s="10" t="str">
        <f t="shared" si="13"/>
        <v>low</v>
      </c>
      <c r="U189" s="1">
        <f t="shared" si="14"/>
        <v>2336.5500000000002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180.69500000000002</v>
      </c>
      <c r="Q190" s="1">
        <f t="shared" si="11"/>
        <v>1626.2550000000001</v>
      </c>
      <c r="R190" s="1" t="str">
        <f t="shared" si="12"/>
        <v>low</v>
      </c>
      <c r="S190" s="1" t="str" cm="1">
        <f t="array" ref="S190">_xlfn.IFS(L190&gt;5,"high",L190=5,"medium",L190&lt;5,"low")</f>
        <v>low</v>
      </c>
      <c r="T190" s="10" t="str">
        <f t="shared" si="13"/>
        <v>low</v>
      </c>
      <c r="U190" s="1">
        <f t="shared" si="14"/>
        <v>2007.72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130.39600000000002</v>
      </c>
      <c r="Q191" s="1">
        <f t="shared" si="11"/>
        <v>2477.5239999999999</v>
      </c>
      <c r="R191" s="1" t="str">
        <f t="shared" si="12"/>
        <v>low</v>
      </c>
      <c r="S191" s="1" t="str" cm="1">
        <f t="array" ref="S191">_xlfn.IFS(L191&gt;5,"high",L191=5,"medium",L191&lt;5,"low")</f>
        <v>low</v>
      </c>
      <c r="T191" s="10" t="str">
        <f t="shared" si="13"/>
        <v>low</v>
      </c>
      <c r="U191" s="1">
        <f t="shared" si="14"/>
        <v>2745.18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1025.1704999999999</v>
      </c>
      <c r="Q192" s="1">
        <f t="shared" si="11"/>
        <v>5809.2995000000001</v>
      </c>
      <c r="R192" s="1" t="str">
        <f t="shared" si="12"/>
        <v>high</v>
      </c>
      <c r="S192" s="1" t="str" cm="1">
        <f t="array" ref="S192">_xlfn.IFS(L192&gt;5,"high",L192=5,"medium",L192&lt;5,"low")</f>
        <v>high</v>
      </c>
      <c r="T192" s="10" t="str">
        <f t="shared" si="13"/>
        <v>high</v>
      </c>
      <c r="U192" s="1">
        <f t="shared" si="14"/>
        <v>8040.5500000000011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124.24349999999998</v>
      </c>
      <c r="Q193" s="1">
        <f t="shared" si="11"/>
        <v>704.04649999999992</v>
      </c>
      <c r="R193" s="1" t="str">
        <f t="shared" si="12"/>
        <v>low</v>
      </c>
      <c r="S193" s="1" t="str" cm="1">
        <f t="array" ref="S193">_xlfn.IFS(L193&gt;5,"high",L193=5,"medium",L193&lt;5,"low")</f>
        <v>low</v>
      </c>
      <c r="T193" s="10" t="str">
        <f t="shared" si="13"/>
        <v>low</v>
      </c>
      <c r="U193" s="1">
        <f t="shared" si="14"/>
        <v>974.46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253.05149999999998</v>
      </c>
      <c r="Q194" s="1">
        <f t="shared" si="11"/>
        <v>1433.9585</v>
      </c>
      <c r="R194" s="1" t="str">
        <f t="shared" si="12"/>
        <v>low</v>
      </c>
      <c r="S194" s="1" t="str" cm="1">
        <f t="array" ref="S194">_xlfn.IFS(L194&gt;5,"high",L194=5,"medium",L194&lt;5,"low")</f>
        <v>low</v>
      </c>
      <c r="T194" s="10" t="str">
        <f t="shared" si="13"/>
        <v>low</v>
      </c>
      <c r="U194" s="1">
        <f t="shared" si="14"/>
        <v>1984.72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O195*N195%</f>
        <v>227.97299999999998</v>
      </c>
      <c r="Q195" s="1">
        <f t="shared" ref="Q195:Q258" si="16">O195-P195</f>
        <v>1291.847</v>
      </c>
      <c r="R195" s="1" t="str">
        <f t="shared" ref="R195:R258" si="17">IF(L195&gt;=5,"high","low")</f>
        <v>low</v>
      </c>
      <c r="S195" s="1" t="str" cm="1">
        <f t="array" ref="S195">_xlfn.IFS(L195&gt;5,"high",L195=5,"medium",L195&lt;5,"low")</f>
        <v>low</v>
      </c>
      <c r="T195" s="10" t="str">
        <f t="shared" ref="T195:T258" si="18">IF(L195&gt;5,"high",IF(L195=5,"medium","low"))</f>
        <v>low</v>
      </c>
      <c r="U195" s="1">
        <f t="shared" ref="U195:U258" si="19">L195*M195</f>
        <v>1788.02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186.11099999999999</v>
      </c>
      <c r="Q196" s="1">
        <f t="shared" si="16"/>
        <v>1674.9989999999998</v>
      </c>
      <c r="R196" s="1" t="str">
        <f t="shared" si="17"/>
        <v>high</v>
      </c>
      <c r="S196" s="1" t="str" cm="1">
        <f t="array" ref="S196">_xlfn.IFS(L196&gt;5,"high",L196=5,"medium",L196&lt;5,"low")</f>
        <v>high</v>
      </c>
      <c r="T196" s="10" t="str">
        <f t="shared" si="18"/>
        <v>high</v>
      </c>
      <c r="U196" s="1">
        <f t="shared" si="19"/>
        <v>2067.8999999999996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0</v>
      </c>
      <c r="Q197" s="1">
        <f t="shared" si="16"/>
        <v>20494.88</v>
      </c>
      <c r="R197" s="1" t="str">
        <f t="shared" si="17"/>
        <v>high</v>
      </c>
      <c r="S197" s="1" t="str" cm="1">
        <f t="array" ref="S197">_xlfn.IFS(L197&gt;5,"high",L197=5,"medium",L197&lt;5,"low")</f>
        <v>high</v>
      </c>
      <c r="T197" s="10" t="str">
        <f t="shared" si="18"/>
        <v>high</v>
      </c>
      <c r="U197" s="1">
        <f t="shared" si="19"/>
        <v>20494.88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452.23599999999999</v>
      </c>
      <c r="Q198" s="1">
        <f t="shared" si="16"/>
        <v>4070.1239999999998</v>
      </c>
      <c r="R198" s="1" t="str">
        <f t="shared" si="17"/>
        <v>low</v>
      </c>
      <c r="S198" s="1" t="str" cm="1">
        <f t="array" ref="S198">_xlfn.IFS(L198&gt;5,"high",L198=5,"medium",L198&lt;5,"low")</f>
        <v>low</v>
      </c>
      <c r="T198" s="10" t="str">
        <f t="shared" si="18"/>
        <v>low</v>
      </c>
      <c r="U198" s="1">
        <f t="shared" si="19"/>
        <v>5024.84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782.226</v>
      </c>
      <c r="Q199" s="1">
        <f t="shared" si="16"/>
        <v>4432.6140000000005</v>
      </c>
      <c r="R199" s="1" t="str">
        <f t="shared" si="17"/>
        <v>high</v>
      </c>
      <c r="S199" s="1" t="str" cm="1">
        <f t="array" ref="S199">_xlfn.IFS(L199&gt;5,"high",L199=5,"medium",L199&lt;5,"low")</f>
        <v>medium</v>
      </c>
      <c r="T199" s="10" t="str">
        <f t="shared" si="18"/>
        <v>medium</v>
      </c>
      <c r="U199" s="1">
        <f t="shared" si="19"/>
        <v>6135.1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514.14800000000002</v>
      </c>
      <c r="Q200" s="1">
        <f t="shared" si="16"/>
        <v>4627.3319999999994</v>
      </c>
      <c r="R200" s="1" t="str">
        <f t="shared" si="17"/>
        <v>low</v>
      </c>
      <c r="S200" s="1" t="str" cm="1">
        <f t="array" ref="S200">_xlfn.IFS(L200&gt;5,"high",L200=5,"medium",L200&lt;5,"low")</f>
        <v>low</v>
      </c>
      <c r="T200" s="10" t="str">
        <f t="shared" si="18"/>
        <v>low</v>
      </c>
      <c r="U200" s="1">
        <f t="shared" si="19"/>
        <v>5712.76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1033.4265</v>
      </c>
      <c r="Q201" s="1">
        <f t="shared" si="16"/>
        <v>5856.0835000000006</v>
      </c>
      <c r="R201" s="1" t="str">
        <f t="shared" si="17"/>
        <v>low</v>
      </c>
      <c r="S201" s="1" t="str" cm="1">
        <f t="array" ref="S201">_xlfn.IFS(L201&gt;5,"high",L201=5,"medium",L201&lt;5,"low")</f>
        <v>low</v>
      </c>
      <c r="T201" s="10" t="str">
        <f t="shared" si="18"/>
        <v>low</v>
      </c>
      <c r="U201" s="1">
        <f t="shared" si="19"/>
        <v>8105.3099999999995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2801.5520000000001</v>
      </c>
      <c r="Q202" s="1">
        <f t="shared" si="16"/>
        <v>11206.208000000001</v>
      </c>
      <c r="R202" s="1" t="str">
        <f t="shared" si="17"/>
        <v>high</v>
      </c>
      <c r="S202" s="1" t="str" cm="1">
        <f t="array" ref="S202">_xlfn.IFS(L202&gt;5,"high",L202=5,"medium",L202&lt;5,"low")</f>
        <v>medium</v>
      </c>
      <c r="T202" s="10" t="str">
        <f t="shared" si="18"/>
        <v>medium</v>
      </c>
      <c r="U202" s="1">
        <f t="shared" si="19"/>
        <v>17509.7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0</v>
      </c>
      <c r="Q203" s="1">
        <f t="shared" si="16"/>
        <v>27652.32</v>
      </c>
      <c r="R203" s="1" t="str">
        <f t="shared" si="17"/>
        <v>high</v>
      </c>
      <c r="S203" s="1" t="str" cm="1">
        <f t="array" ref="S203">_xlfn.IFS(L203&gt;5,"high",L203=5,"medium",L203&lt;5,"low")</f>
        <v>high</v>
      </c>
      <c r="T203" s="10" t="str">
        <f t="shared" si="18"/>
        <v>high</v>
      </c>
      <c r="U203" s="1">
        <f t="shared" si="19"/>
        <v>27652.32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3777.268</v>
      </c>
      <c r="Q204" s="1">
        <f t="shared" si="16"/>
        <v>15109.072</v>
      </c>
      <c r="R204" s="1" t="str">
        <f t="shared" si="17"/>
        <v>high</v>
      </c>
      <c r="S204" s="1" t="str" cm="1">
        <f t="array" ref="S204">_xlfn.IFS(L204&gt;5,"high",L204=5,"medium",L204&lt;5,"low")</f>
        <v>high</v>
      </c>
      <c r="T204" s="10" t="str">
        <f t="shared" si="18"/>
        <v>high</v>
      </c>
      <c r="U204" s="1">
        <f t="shared" si="19"/>
        <v>23607.919999999998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765.66600000000005</v>
      </c>
      <c r="Q205" s="1">
        <f t="shared" si="16"/>
        <v>14547.654</v>
      </c>
      <c r="R205" s="1" t="str">
        <f t="shared" si="17"/>
        <v>high</v>
      </c>
      <c r="S205" s="1" t="str" cm="1">
        <f t="array" ref="S205">_xlfn.IFS(L205&gt;5,"high",L205=5,"medium",L205&lt;5,"low")</f>
        <v>high</v>
      </c>
      <c r="T205" s="10" t="str">
        <f t="shared" si="18"/>
        <v>high</v>
      </c>
      <c r="U205" s="1">
        <f t="shared" si="19"/>
        <v>16119.28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2031.2280000000001</v>
      </c>
      <c r="Q206" s="1">
        <f t="shared" si="16"/>
        <v>18281.052</v>
      </c>
      <c r="R206" s="1" t="str">
        <f t="shared" si="17"/>
        <v>high</v>
      </c>
      <c r="S206" s="1" t="str" cm="1">
        <f t="array" ref="S206">_xlfn.IFS(L206&gt;5,"high",L206=5,"medium",L206&lt;5,"low")</f>
        <v>high</v>
      </c>
      <c r="T206" s="10" t="str">
        <f t="shared" si="18"/>
        <v>high</v>
      </c>
      <c r="U206" s="1">
        <f t="shared" si="19"/>
        <v>22569.200000000001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865.6930000000001</v>
      </c>
      <c r="Q207" s="1">
        <f t="shared" si="16"/>
        <v>16448.167000000001</v>
      </c>
      <c r="R207" s="1" t="str">
        <f t="shared" si="17"/>
        <v>high</v>
      </c>
      <c r="S207" s="1" t="str" cm="1">
        <f t="array" ref="S207">_xlfn.IFS(L207&gt;5,"high",L207=5,"medium",L207&lt;5,"low")</f>
        <v>high</v>
      </c>
      <c r="T207" s="10" t="str">
        <f t="shared" si="18"/>
        <v>high</v>
      </c>
      <c r="U207" s="1">
        <f t="shared" si="19"/>
        <v>18225.12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619.01300000000003</v>
      </c>
      <c r="Q208" s="1">
        <f t="shared" si="16"/>
        <v>5571.1170000000002</v>
      </c>
      <c r="R208" s="1" t="str">
        <f t="shared" si="17"/>
        <v>high</v>
      </c>
      <c r="S208" s="1" t="str" cm="1">
        <f t="array" ref="S208">_xlfn.IFS(L208&gt;5,"high",L208=5,"medium",L208&lt;5,"low")</f>
        <v>high</v>
      </c>
      <c r="T208" s="10" t="str">
        <f t="shared" si="18"/>
        <v>high</v>
      </c>
      <c r="U208" s="1">
        <f t="shared" si="19"/>
        <v>6877.92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1219.93</v>
      </c>
      <c r="Q209" s="1">
        <f t="shared" si="16"/>
        <v>4879.7199999999993</v>
      </c>
      <c r="R209" s="1" t="str">
        <f t="shared" si="17"/>
        <v>high</v>
      </c>
      <c r="S209" s="1" t="str" cm="1">
        <f t="array" ref="S209">_xlfn.IFS(L209&gt;5,"high",L209=5,"medium",L209&lt;5,"low")</f>
        <v>high</v>
      </c>
      <c r="T209" s="10" t="str">
        <f t="shared" si="18"/>
        <v>high</v>
      </c>
      <c r="U209" s="1">
        <f t="shared" si="19"/>
        <v>7624.56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1316.9324999999999</v>
      </c>
      <c r="Q210" s="1">
        <f t="shared" si="16"/>
        <v>7462.6174999999994</v>
      </c>
      <c r="R210" s="1" t="str">
        <f t="shared" si="17"/>
        <v>high</v>
      </c>
      <c r="S210" s="1" t="str" cm="1">
        <f t="array" ref="S210">_xlfn.IFS(L210&gt;5,"high",L210=5,"medium",L210&lt;5,"low")</f>
        <v>high</v>
      </c>
      <c r="T210" s="10" t="str">
        <f t="shared" si="18"/>
        <v>high</v>
      </c>
      <c r="U210" s="1">
        <f t="shared" si="19"/>
        <v>10328.879999999999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3729.7215000000001</v>
      </c>
      <c r="Q211" s="1">
        <f t="shared" si="16"/>
        <v>21135.088500000002</v>
      </c>
      <c r="R211" s="1" t="str">
        <f t="shared" si="17"/>
        <v>high</v>
      </c>
      <c r="S211" s="1" t="str" cm="1">
        <f t="array" ref="S211">_xlfn.IFS(L211&gt;5,"high",L211=5,"medium",L211&lt;5,"low")</f>
        <v>high</v>
      </c>
      <c r="T211" s="10" t="str">
        <f t="shared" si="18"/>
        <v>high</v>
      </c>
      <c r="U211" s="1">
        <f t="shared" si="19"/>
        <v>29252.720000000001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1422.2560000000001</v>
      </c>
      <c r="Q212" s="1">
        <f t="shared" si="16"/>
        <v>12800.304</v>
      </c>
      <c r="R212" s="1" t="str">
        <f t="shared" si="17"/>
        <v>high</v>
      </c>
      <c r="S212" s="1" t="str" cm="1">
        <f t="array" ref="S212">_xlfn.IFS(L212&gt;5,"high",L212=5,"medium",L212&lt;5,"low")</f>
        <v>high</v>
      </c>
      <c r="T212" s="10" t="str">
        <f t="shared" si="18"/>
        <v>high</v>
      </c>
      <c r="U212" s="1">
        <f t="shared" si="19"/>
        <v>15802.850000000002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379.38150000000002</v>
      </c>
      <c r="Q213" s="1">
        <f t="shared" si="16"/>
        <v>2149.8285000000001</v>
      </c>
      <c r="R213" s="1" t="str">
        <f t="shared" si="17"/>
        <v>low</v>
      </c>
      <c r="S213" s="1" t="str" cm="1">
        <f t="array" ref="S213">_xlfn.IFS(L213&gt;5,"high",L213=5,"medium",L213&lt;5,"low")</f>
        <v>low</v>
      </c>
      <c r="T213" s="10" t="str">
        <f t="shared" si="18"/>
        <v>low</v>
      </c>
      <c r="U213" s="1">
        <f t="shared" si="19"/>
        <v>2975.54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949.92000000000007</v>
      </c>
      <c r="Q214" s="1">
        <f t="shared" si="16"/>
        <v>3799.6800000000003</v>
      </c>
      <c r="R214" s="1" t="str">
        <f t="shared" si="17"/>
        <v>low</v>
      </c>
      <c r="S214" s="1" t="str" cm="1">
        <f t="array" ref="S214">_xlfn.IFS(L214&gt;5,"high",L214=5,"medium",L214&lt;5,"low")</f>
        <v>low</v>
      </c>
      <c r="T214" s="10" t="str">
        <f t="shared" si="18"/>
        <v>low</v>
      </c>
      <c r="U214" s="1">
        <f t="shared" si="19"/>
        <v>5937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877.05150000000003</v>
      </c>
      <c r="Q215" s="1">
        <f t="shared" si="16"/>
        <v>4969.9585000000006</v>
      </c>
      <c r="R215" s="1" t="str">
        <f t="shared" si="17"/>
        <v>low</v>
      </c>
      <c r="S215" s="1" t="str" cm="1">
        <f t="array" ref="S215">_xlfn.IFS(L215&gt;5,"high",L215=5,"medium",L215&lt;5,"low")</f>
        <v>low</v>
      </c>
      <c r="T215" s="10" t="str">
        <f t="shared" si="18"/>
        <v>low</v>
      </c>
      <c r="U215" s="1">
        <f t="shared" si="19"/>
        <v>6878.84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506.74399999999997</v>
      </c>
      <c r="Q216" s="1">
        <f t="shared" si="16"/>
        <v>2026.9759999999999</v>
      </c>
      <c r="R216" s="1" t="str">
        <f t="shared" si="17"/>
        <v>high</v>
      </c>
      <c r="S216" s="1" t="str" cm="1">
        <f t="array" ref="S216">_xlfn.IFS(L216&gt;5,"high",L216=5,"medium",L216&lt;5,"low")</f>
        <v>medium</v>
      </c>
      <c r="T216" s="10" t="str">
        <f t="shared" si="18"/>
        <v>medium</v>
      </c>
      <c r="U216" s="1">
        <f t="shared" si="19"/>
        <v>3167.1499999999996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230.70450000000002</v>
      </c>
      <c r="Q217" s="1">
        <f t="shared" si="16"/>
        <v>4383.3855000000003</v>
      </c>
      <c r="R217" s="1" t="str">
        <f t="shared" si="17"/>
        <v>high</v>
      </c>
      <c r="S217" s="1" t="str" cm="1">
        <f t="array" ref="S217">_xlfn.IFS(L217&gt;5,"high",L217=5,"medium",L217&lt;5,"low")</f>
        <v>high</v>
      </c>
      <c r="T217" s="10" t="str">
        <f t="shared" si="18"/>
        <v>high</v>
      </c>
      <c r="U217" s="1">
        <f t="shared" si="19"/>
        <v>4856.9400000000005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2134.6040000000003</v>
      </c>
      <c r="Q218" s="1">
        <f t="shared" si="16"/>
        <v>8538.4160000000011</v>
      </c>
      <c r="R218" s="1" t="str">
        <f t="shared" si="17"/>
        <v>low</v>
      </c>
      <c r="S218" s="1" t="str" cm="1">
        <f t="array" ref="S218">_xlfn.IFS(L218&gt;5,"high",L218=5,"medium",L218&lt;5,"low")</f>
        <v>low</v>
      </c>
      <c r="T218" s="10" t="str">
        <f t="shared" si="18"/>
        <v>low</v>
      </c>
      <c r="U218" s="1">
        <f t="shared" si="19"/>
        <v>13341.28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0</v>
      </c>
      <c r="Q219" s="1">
        <f t="shared" si="16"/>
        <v>4803.26</v>
      </c>
      <c r="R219" s="1" t="str">
        <f t="shared" si="17"/>
        <v>low</v>
      </c>
      <c r="S219" s="1" t="str" cm="1">
        <f t="array" ref="S219">_xlfn.IFS(L219&gt;5,"high",L219=5,"medium",L219&lt;5,"low")</f>
        <v>low</v>
      </c>
      <c r="T219" s="10" t="str">
        <f t="shared" si="18"/>
        <v>low</v>
      </c>
      <c r="U219" s="1">
        <f t="shared" si="19"/>
        <v>4803.26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0</v>
      </c>
      <c r="Q220" s="1">
        <f t="shared" si="16"/>
        <v>8697</v>
      </c>
      <c r="R220" s="1" t="str">
        <f t="shared" si="17"/>
        <v>high</v>
      </c>
      <c r="S220" s="1" t="str" cm="1">
        <f t="array" ref="S220">_xlfn.IFS(L220&gt;5,"high",L220=5,"medium",L220&lt;5,"low")</f>
        <v>high</v>
      </c>
      <c r="T220" s="10" t="str">
        <f t="shared" si="18"/>
        <v>high</v>
      </c>
      <c r="U220" s="1">
        <f t="shared" si="19"/>
        <v>8697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0</v>
      </c>
      <c r="Q221" s="1">
        <f t="shared" si="16"/>
        <v>25927.84</v>
      </c>
      <c r="R221" s="1" t="str">
        <f t="shared" si="17"/>
        <v>high</v>
      </c>
      <c r="S221" s="1" t="str" cm="1">
        <f t="array" ref="S221">_xlfn.IFS(L221&gt;5,"high",L221=5,"medium",L221&lt;5,"low")</f>
        <v>high</v>
      </c>
      <c r="T221" s="10" t="str">
        <f t="shared" si="18"/>
        <v>high</v>
      </c>
      <c r="U221" s="1">
        <f t="shared" si="19"/>
        <v>25927.84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791.35200000000009</v>
      </c>
      <c r="Q222" s="1">
        <f t="shared" si="16"/>
        <v>7122.1680000000006</v>
      </c>
      <c r="R222" s="1" t="str">
        <f t="shared" si="17"/>
        <v>high</v>
      </c>
      <c r="S222" s="1" t="str" cm="1">
        <f t="array" ref="S222">_xlfn.IFS(L222&gt;5,"high",L222=5,"medium",L222&lt;5,"low")</f>
        <v>high</v>
      </c>
      <c r="T222" s="10" t="str">
        <f t="shared" si="18"/>
        <v>high</v>
      </c>
      <c r="U222" s="1">
        <f t="shared" si="19"/>
        <v>8792.7999999999993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2461.8700000000003</v>
      </c>
      <c r="Q223" s="1">
        <f t="shared" si="16"/>
        <v>22156.83</v>
      </c>
      <c r="R223" s="1" t="str">
        <f t="shared" si="17"/>
        <v>high</v>
      </c>
      <c r="S223" s="1" t="str" cm="1">
        <f t="array" ref="S223">_xlfn.IFS(L223&gt;5,"high",L223=5,"medium",L223&lt;5,"low")</f>
        <v>high</v>
      </c>
      <c r="T223" s="10" t="str">
        <f t="shared" si="18"/>
        <v>high</v>
      </c>
      <c r="U223" s="1">
        <f t="shared" si="19"/>
        <v>27354.11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797.87700000000007</v>
      </c>
      <c r="Q224" s="1">
        <f t="shared" si="16"/>
        <v>7180.893</v>
      </c>
      <c r="R224" s="1" t="str">
        <f t="shared" si="17"/>
        <v>high</v>
      </c>
      <c r="S224" s="1" t="str" cm="1">
        <f t="array" ref="S224">_xlfn.IFS(L224&gt;5,"high",L224=5,"medium",L224&lt;5,"low")</f>
        <v>high</v>
      </c>
      <c r="T224" s="10" t="str">
        <f t="shared" si="18"/>
        <v>high</v>
      </c>
      <c r="U224" s="1">
        <f t="shared" si="19"/>
        <v>8865.2999999999993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463.56800000000004</v>
      </c>
      <c r="Q225" s="1">
        <f t="shared" si="16"/>
        <v>1854.2720000000002</v>
      </c>
      <c r="R225" s="1" t="str">
        <f t="shared" si="17"/>
        <v>low</v>
      </c>
      <c r="S225" s="1" t="str" cm="1">
        <f t="array" ref="S225">_xlfn.IFS(L225&gt;5,"high",L225=5,"medium",L225&lt;5,"low")</f>
        <v>low</v>
      </c>
      <c r="T225" s="10" t="str">
        <f t="shared" si="18"/>
        <v>low</v>
      </c>
      <c r="U225" s="1">
        <f t="shared" si="19"/>
        <v>2897.3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851.04200000000003</v>
      </c>
      <c r="Q226" s="1">
        <f t="shared" si="16"/>
        <v>7659.3779999999997</v>
      </c>
      <c r="R226" s="1" t="str">
        <f t="shared" si="17"/>
        <v>high</v>
      </c>
      <c r="S226" s="1" t="str" cm="1">
        <f t="array" ref="S226">_xlfn.IFS(L226&gt;5,"high",L226=5,"medium",L226&lt;5,"low")</f>
        <v>high</v>
      </c>
      <c r="T226" s="10" t="str">
        <f t="shared" si="18"/>
        <v>high</v>
      </c>
      <c r="U226" s="1">
        <f t="shared" si="19"/>
        <v>9456.0199999999986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147.28100000000001</v>
      </c>
      <c r="Q227" s="1">
        <f t="shared" si="16"/>
        <v>2798.3389999999999</v>
      </c>
      <c r="R227" s="1" t="str">
        <f t="shared" si="17"/>
        <v>high</v>
      </c>
      <c r="S227" s="1" t="str" cm="1">
        <f t="array" ref="S227">_xlfn.IFS(L227&gt;5,"high",L227=5,"medium",L227&lt;5,"low")</f>
        <v>medium</v>
      </c>
      <c r="T227" s="10" t="str">
        <f t="shared" si="18"/>
        <v>medium</v>
      </c>
      <c r="U227" s="1">
        <f t="shared" si="19"/>
        <v>3100.65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0</v>
      </c>
      <c r="Q228" s="1">
        <f t="shared" si="16"/>
        <v>3467.28</v>
      </c>
      <c r="R228" s="1" t="str">
        <f t="shared" si="17"/>
        <v>high</v>
      </c>
      <c r="S228" s="1" t="str" cm="1">
        <f t="array" ref="S228">_xlfn.IFS(L228&gt;5,"high",L228=5,"medium",L228&lt;5,"low")</f>
        <v>high</v>
      </c>
      <c r="T228" s="10" t="str">
        <f t="shared" si="18"/>
        <v>high</v>
      </c>
      <c r="U228" s="1">
        <f t="shared" si="19"/>
        <v>3467.2799999999997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3385.8559999999998</v>
      </c>
      <c r="Q229" s="1">
        <f t="shared" si="16"/>
        <v>13543.423999999999</v>
      </c>
      <c r="R229" s="1" t="str">
        <f t="shared" si="17"/>
        <v>high</v>
      </c>
      <c r="S229" s="1" t="str" cm="1">
        <f t="array" ref="S229">_xlfn.IFS(L229&gt;5,"high",L229=5,"medium",L229&lt;5,"low")</f>
        <v>high</v>
      </c>
      <c r="T229" s="10" t="str">
        <f t="shared" si="18"/>
        <v>high</v>
      </c>
      <c r="U229" s="1">
        <f t="shared" si="19"/>
        <v>21161.599999999999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0</v>
      </c>
      <c r="Q230" s="1">
        <f t="shared" si="16"/>
        <v>28153.599999999999</v>
      </c>
      <c r="R230" s="1" t="str">
        <f t="shared" si="17"/>
        <v>high</v>
      </c>
      <c r="S230" s="1" t="str" cm="1">
        <f t="array" ref="S230">_xlfn.IFS(L230&gt;5,"high",L230=5,"medium",L230&lt;5,"low")</f>
        <v>high</v>
      </c>
      <c r="T230" s="10" t="str">
        <f t="shared" si="18"/>
        <v>high</v>
      </c>
      <c r="U230" s="1">
        <f t="shared" si="19"/>
        <v>28153.599999999999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862.24500000000012</v>
      </c>
      <c r="Q231" s="1">
        <f t="shared" si="16"/>
        <v>7760.2050000000008</v>
      </c>
      <c r="R231" s="1" t="str">
        <f t="shared" si="17"/>
        <v>low</v>
      </c>
      <c r="S231" s="1" t="str" cm="1">
        <f t="array" ref="S231">_xlfn.IFS(L231&gt;5,"high",L231=5,"medium",L231&lt;5,"low")</f>
        <v>low</v>
      </c>
      <c r="T231" s="10" t="str">
        <f t="shared" si="18"/>
        <v>low</v>
      </c>
      <c r="U231" s="1">
        <f t="shared" si="19"/>
        <v>9580.5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776.45200000000011</v>
      </c>
      <c r="Q232" s="1">
        <f t="shared" si="16"/>
        <v>3105.808</v>
      </c>
      <c r="R232" s="1" t="str">
        <f t="shared" si="17"/>
        <v>high</v>
      </c>
      <c r="S232" s="1" t="str" cm="1">
        <f t="array" ref="S232">_xlfn.IFS(L232&gt;5,"high",L232=5,"medium",L232&lt;5,"low")</f>
        <v>high</v>
      </c>
      <c r="T232" s="10" t="str">
        <f t="shared" si="18"/>
        <v>high</v>
      </c>
      <c r="U232" s="1">
        <f t="shared" si="19"/>
        <v>4852.82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286.93799999999999</v>
      </c>
      <c r="Q233" s="1">
        <f t="shared" si="16"/>
        <v>1625.982</v>
      </c>
      <c r="R233" s="1" t="str">
        <f t="shared" si="17"/>
        <v>low</v>
      </c>
      <c r="S233" s="1" t="str" cm="1">
        <f t="array" ref="S233">_xlfn.IFS(L233&gt;5,"high",L233=5,"medium",L233&lt;5,"low")</f>
        <v>low</v>
      </c>
      <c r="T233" s="10" t="str">
        <f t="shared" si="18"/>
        <v>low</v>
      </c>
      <c r="U233" s="1">
        <f t="shared" si="19"/>
        <v>2250.4899999999998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26.435000000000002</v>
      </c>
      <c r="Q234" s="1">
        <f t="shared" si="16"/>
        <v>502.26500000000004</v>
      </c>
      <c r="R234" s="1" t="str">
        <f t="shared" si="17"/>
        <v>low</v>
      </c>
      <c r="S234" s="1" t="str" cm="1">
        <f t="array" ref="S234">_xlfn.IFS(L234&gt;5,"high",L234=5,"medium",L234&lt;5,"low")</f>
        <v>low</v>
      </c>
      <c r="T234" s="10" t="str">
        <f t="shared" si="18"/>
        <v>low</v>
      </c>
      <c r="U234" s="1">
        <f t="shared" si="19"/>
        <v>556.53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204.35900000000001</v>
      </c>
      <c r="Q235" s="1">
        <f t="shared" si="16"/>
        <v>1839.231</v>
      </c>
      <c r="R235" s="1" t="str">
        <f t="shared" si="17"/>
        <v>high</v>
      </c>
      <c r="S235" s="1" t="str" cm="1">
        <f t="array" ref="S235">_xlfn.IFS(L235&gt;5,"high",L235=5,"medium",L235&lt;5,"low")</f>
        <v>high</v>
      </c>
      <c r="T235" s="10" t="str">
        <f t="shared" si="18"/>
        <v>high</v>
      </c>
      <c r="U235" s="1">
        <f t="shared" si="19"/>
        <v>2270.66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2168.4430000000002</v>
      </c>
      <c r="Q236" s="1">
        <f t="shared" si="16"/>
        <v>19515.987000000001</v>
      </c>
      <c r="R236" s="1" t="str">
        <f t="shared" si="17"/>
        <v>high</v>
      </c>
      <c r="S236" s="1" t="str" cm="1">
        <f t="array" ref="S236">_xlfn.IFS(L236&gt;5,"high",L236=5,"medium",L236&lt;5,"low")</f>
        <v>high</v>
      </c>
      <c r="T236" s="10" t="str">
        <f t="shared" si="18"/>
        <v>high</v>
      </c>
      <c r="U236" s="1">
        <f t="shared" si="19"/>
        <v>24093.81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734.9380000000001</v>
      </c>
      <c r="Q237" s="1">
        <f t="shared" si="16"/>
        <v>13963.822</v>
      </c>
      <c r="R237" s="1" t="str">
        <f t="shared" si="17"/>
        <v>high</v>
      </c>
      <c r="S237" s="1" t="str" cm="1">
        <f t="array" ref="S237">_xlfn.IFS(L237&gt;5,"high",L237=5,"medium",L237&lt;5,"low")</f>
        <v>high</v>
      </c>
      <c r="T237" s="10" t="str">
        <f t="shared" si="18"/>
        <v>high</v>
      </c>
      <c r="U237" s="1">
        <f t="shared" si="19"/>
        <v>15472.380000000001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110.625</v>
      </c>
      <c r="Q238" s="1">
        <f t="shared" si="16"/>
        <v>2101.875</v>
      </c>
      <c r="R238" s="1" t="str">
        <f t="shared" si="17"/>
        <v>high</v>
      </c>
      <c r="S238" s="1" t="str" cm="1">
        <f t="array" ref="S238">_xlfn.IFS(L238&gt;5,"high",L238=5,"medium",L238&lt;5,"low")</f>
        <v>medium</v>
      </c>
      <c r="T238" s="10" t="str">
        <f t="shared" si="18"/>
        <v>medium</v>
      </c>
      <c r="U238" s="1">
        <f t="shared" si="19"/>
        <v>2328.9500000000003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290.21100000000001</v>
      </c>
      <c r="Q239" s="1">
        <f t="shared" si="16"/>
        <v>1644.529</v>
      </c>
      <c r="R239" s="1" t="str">
        <f t="shared" si="17"/>
        <v>high</v>
      </c>
      <c r="S239" s="1" t="str" cm="1">
        <f t="array" ref="S239">_xlfn.IFS(L239&gt;5,"high",L239=5,"medium",L239&lt;5,"low")</f>
        <v>high</v>
      </c>
      <c r="T239" s="10" t="str">
        <f t="shared" si="18"/>
        <v>high</v>
      </c>
      <c r="U239" s="1">
        <f t="shared" si="19"/>
        <v>2276.16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712.90100000000007</v>
      </c>
      <c r="Q240" s="1">
        <f t="shared" si="16"/>
        <v>6416.1090000000004</v>
      </c>
      <c r="R240" s="1" t="str">
        <f t="shared" si="17"/>
        <v>low</v>
      </c>
      <c r="S240" s="1" t="str" cm="1">
        <f t="array" ref="S240">_xlfn.IFS(L240&gt;5,"high",L240=5,"medium",L240&lt;5,"low")</f>
        <v>low</v>
      </c>
      <c r="T240" s="10" t="str">
        <f t="shared" si="18"/>
        <v>low</v>
      </c>
      <c r="U240" s="1">
        <f t="shared" si="19"/>
        <v>7921.12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215.12</v>
      </c>
      <c r="Q241" s="1">
        <f t="shared" si="16"/>
        <v>1936.08</v>
      </c>
      <c r="R241" s="1" t="str">
        <f t="shared" si="17"/>
        <v>high</v>
      </c>
      <c r="S241" s="1" t="str" cm="1">
        <f t="array" ref="S241">_xlfn.IFS(L241&gt;5,"high",L241=5,"medium",L241&lt;5,"low")</f>
        <v>high</v>
      </c>
      <c r="T241" s="10" t="str">
        <f t="shared" si="18"/>
        <v>high</v>
      </c>
      <c r="U241" s="1">
        <f t="shared" si="19"/>
        <v>2390.2199999999998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0</v>
      </c>
      <c r="Q242" s="1">
        <f t="shared" si="16"/>
        <v>11168.58</v>
      </c>
      <c r="R242" s="1" t="str">
        <f t="shared" si="17"/>
        <v>high</v>
      </c>
      <c r="S242" s="1" t="str" cm="1">
        <f t="array" ref="S242">_xlfn.IFS(L242&gt;5,"high",L242=5,"medium",L242&lt;5,"low")</f>
        <v>high</v>
      </c>
      <c r="T242" s="10" t="str">
        <f t="shared" si="18"/>
        <v>high</v>
      </c>
      <c r="U242" s="1">
        <f t="shared" si="19"/>
        <v>11168.58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3013.6040000000003</v>
      </c>
      <c r="Q243" s="1">
        <f t="shared" si="16"/>
        <v>12054.416000000001</v>
      </c>
      <c r="R243" s="1" t="str">
        <f t="shared" si="17"/>
        <v>high</v>
      </c>
      <c r="S243" s="1" t="str" cm="1">
        <f t="array" ref="S243">_xlfn.IFS(L243&gt;5,"high",L243=5,"medium",L243&lt;5,"low")</f>
        <v>high</v>
      </c>
      <c r="T243" s="10" t="str">
        <f t="shared" si="18"/>
        <v>high</v>
      </c>
      <c r="U243" s="1">
        <f t="shared" si="19"/>
        <v>18835.02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192.49</v>
      </c>
      <c r="Q244" s="1">
        <f t="shared" si="16"/>
        <v>769.96</v>
      </c>
      <c r="R244" s="1" t="str">
        <f t="shared" si="17"/>
        <v>low</v>
      </c>
      <c r="S244" s="1" t="str" cm="1">
        <f t="array" ref="S244">_xlfn.IFS(L244&gt;5,"high",L244=5,"medium",L244&lt;5,"low")</f>
        <v>low</v>
      </c>
      <c r="T244" s="10" t="str">
        <f t="shared" si="18"/>
        <v>low</v>
      </c>
      <c r="U244" s="1">
        <f t="shared" si="19"/>
        <v>1203.06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0</v>
      </c>
      <c r="Q245" s="1">
        <f t="shared" si="16"/>
        <v>2402.67</v>
      </c>
      <c r="R245" s="1" t="str">
        <f t="shared" si="17"/>
        <v>low</v>
      </c>
      <c r="S245" s="1" t="str" cm="1">
        <f t="array" ref="S245">_xlfn.IFS(L245&gt;5,"high",L245=5,"medium",L245&lt;5,"low")</f>
        <v>low</v>
      </c>
      <c r="T245" s="10" t="str">
        <f t="shared" si="18"/>
        <v>low</v>
      </c>
      <c r="U245" s="1">
        <f t="shared" si="19"/>
        <v>2402.67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1925.6959999999999</v>
      </c>
      <c r="Q246" s="1">
        <f t="shared" si="16"/>
        <v>7702.7839999999997</v>
      </c>
      <c r="R246" s="1" t="str">
        <f t="shared" si="17"/>
        <v>high</v>
      </c>
      <c r="S246" s="1" t="str" cm="1">
        <f t="array" ref="S246">_xlfn.IFS(L246&gt;5,"high",L246=5,"medium",L246&lt;5,"low")</f>
        <v>high</v>
      </c>
      <c r="T246" s="10" t="str">
        <f t="shared" si="18"/>
        <v>high</v>
      </c>
      <c r="U246" s="1">
        <f t="shared" si="19"/>
        <v>12035.6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146.41650000000001</v>
      </c>
      <c r="Q247" s="1">
        <f t="shared" si="16"/>
        <v>2781.9135000000001</v>
      </c>
      <c r="R247" s="1" t="str">
        <f t="shared" si="17"/>
        <v>low</v>
      </c>
      <c r="S247" s="1" t="str" cm="1">
        <f t="array" ref="S247">_xlfn.IFS(L247&gt;5,"high",L247=5,"medium",L247&lt;5,"low")</f>
        <v>low</v>
      </c>
      <c r="T247" s="10" t="str">
        <f t="shared" si="18"/>
        <v>low</v>
      </c>
      <c r="U247" s="1">
        <f t="shared" si="19"/>
        <v>3082.45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2354.5419999999999</v>
      </c>
      <c r="Q248" s="1">
        <f t="shared" si="16"/>
        <v>9418.1679999999997</v>
      </c>
      <c r="R248" s="1" t="str">
        <f t="shared" si="17"/>
        <v>high</v>
      </c>
      <c r="S248" s="1" t="str" cm="1">
        <f t="array" ref="S248">_xlfn.IFS(L248&gt;5,"high",L248=5,"medium",L248&lt;5,"low")</f>
        <v>high</v>
      </c>
      <c r="T248" s="10" t="str">
        <f t="shared" si="18"/>
        <v>high</v>
      </c>
      <c r="U248" s="1">
        <f t="shared" si="19"/>
        <v>14715.89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2918.63</v>
      </c>
      <c r="Q249" s="1">
        <f t="shared" si="16"/>
        <v>11674.52</v>
      </c>
      <c r="R249" s="1" t="str">
        <f t="shared" si="17"/>
        <v>high</v>
      </c>
      <c r="S249" s="1" t="str" cm="1">
        <f t="array" ref="S249">_xlfn.IFS(L249&gt;5,"high",L249=5,"medium",L249&lt;5,"low")</f>
        <v>high</v>
      </c>
      <c r="T249" s="10" t="str">
        <f t="shared" si="18"/>
        <v>high</v>
      </c>
      <c r="U249" s="1">
        <f t="shared" si="19"/>
        <v>18241.440000000002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0</v>
      </c>
      <c r="Q250" s="1">
        <f t="shared" si="16"/>
        <v>3942.92</v>
      </c>
      <c r="R250" s="1" t="str">
        <f t="shared" si="17"/>
        <v>low</v>
      </c>
      <c r="S250" s="1" t="str" cm="1">
        <f t="array" ref="S250">_xlfn.IFS(L250&gt;5,"high",L250=5,"medium",L250&lt;5,"low")</f>
        <v>low</v>
      </c>
      <c r="T250" s="10" t="str">
        <f t="shared" si="18"/>
        <v>low</v>
      </c>
      <c r="U250" s="1">
        <f t="shared" si="19"/>
        <v>3942.92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3565.0754999999995</v>
      </c>
      <c r="Q251" s="1">
        <f t="shared" si="16"/>
        <v>20202.094499999999</v>
      </c>
      <c r="R251" s="1" t="str">
        <f t="shared" si="17"/>
        <v>high</v>
      </c>
      <c r="S251" s="1" t="str" cm="1">
        <f t="array" ref="S251">_xlfn.IFS(L251&gt;5,"high",L251=5,"medium",L251&lt;5,"low")</f>
        <v>high</v>
      </c>
      <c r="T251" s="10" t="str">
        <f t="shared" si="18"/>
        <v>high</v>
      </c>
      <c r="U251" s="1">
        <f t="shared" si="19"/>
        <v>27961.38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2332.5320000000002</v>
      </c>
      <c r="Q252" s="1">
        <f t="shared" si="16"/>
        <v>9330.1280000000006</v>
      </c>
      <c r="R252" s="1" t="str">
        <f t="shared" si="17"/>
        <v>high</v>
      </c>
      <c r="S252" s="1" t="str" cm="1">
        <f t="array" ref="S252">_xlfn.IFS(L252&gt;5,"high",L252=5,"medium",L252&lt;5,"low")</f>
        <v>high</v>
      </c>
      <c r="T252" s="10" t="str">
        <f t="shared" si="18"/>
        <v>high</v>
      </c>
      <c r="U252" s="1">
        <f t="shared" si="19"/>
        <v>14578.32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1196.0319999999999</v>
      </c>
      <c r="Q253" s="1">
        <f t="shared" si="16"/>
        <v>4784.1279999999997</v>
      </c>
      <c r="R253" s="1" t="str">
        <f t="shared" si="17"/>
        <v>low</v>
      </c>
      <c r="S253" s="1" t="str" cm="1">
        <f t="array" ref="S253">_xlfn.IFS(L253&gt;5,"high",L253=5,"medium",L253&lt;5,"low")</f>
        <v>low</v>
      </c>
      <c r="T253" s="10" t="str">
        <f t="shared" si="18"/>
        <v>low</v>
      </c>
      <c r="U253" s="1">
        <f t="shared" si="19"/>
        <v>7475.2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1614.3225</v>
      </c>
      <c r="Q254" s="1">
        <f t="shared" si="16"/>
        <v>9147.8274999999994</v>
      </c>
      <c r="R254" s="1" t="str">
        <f t="shared" si="17"/>
        <v>high</v>
      </c>
      <c r="S254" s="1" t="str" cm="1">
        <f t="array" ref="S254">_xlfn.IFS(L254&gt;5,"high",L254=5,"medium",L254&lt;5,"low")</f>
        <v>medium</v>
      </c>
      <c r="T254" s="10" t="str">
        <f t="shared" si="18"/>
        <v>medium</v>
      </c>
      <c r="U254" s="1">
        <f t="shared" si="19"/>
        <v>12661.35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0</v>
      </c>
      <c r="Q255" s="1">
        <f t="shared" si="16"/>
        <v>5423.32</v>
      </c>
      <c r="R255" s="1" t="str">
        <f t="shared" si="17"/>
        <v>low</v>
      </c>
      <c r="S255" s="1" t="str" cm="1">
        <f t="array" ref="S255">_xlfn.IFS(L255&gt;5,"high",L255=5,"medium",L255&lt;5,"low")</f>
        <v>low</v>
      </c>
      <c r="T255" s="10" t="str">
        <f t="shared" si="18"/>
        <v>low</v>
      </c>
      <c r="U255" s="1">
        <f t="shared" si="19"/>
        <v>5423.32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2384.2064999999998</v>
      </c>
      <c r="Q256" s="1">
        <f t="shared" si="16"/>
        <v>13510.503499999999</v>
      </c>
      <c r="R256" s="1" t="str">
        <f t="shared" si="17"/>
        <v>high</v>
      </c>
      <c r="S256" s="1" t="str" cm="1">
        <f t="array" ref="S256">_xlfn.IFS(L256&gt;5,"high",L256=5,"medium",L256&lt;5,"low")</f>
        <v>high</v>
      </c>
      <c r="T256" s="10" t="str">
        <f t="shared" si="18"/>
        <v>high</v>
      </c>
      <c r="U256" s="1">
        <f t="shared" si="19"/>
        <v>18699.659999999996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0</v>
      </c>
      <c r="Q257" s="1">
        <f t="shared" si="16"/>
        <v>15796.32</v>
      </c>
      <c r="R257" s="1" t="str">
        <f t="shared" si="17"/>
        <v>high</v>
      </c>
      <c r="S257" s="1" t="str" cm="1">
        <f t="array" ref="S257">_xlfn.IFS(L257&gt;5,"high",L257=5,"medium",L257&lt;5,"low")</f>
        <v>high</v>
      </c>
      <c r="T257" s="10" t="str">
        <f t="shared" si="18"/>
        <v>high</v>
      </c>
      <c r="U257" s="1">
        <f t="shared" si="19"/>
        <v>15796.32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34.285500000000006</v>
      </c>
      <c r="Q258" s="1">
        <f t="shared" si="16"/>
        <v>651.42450000000008</v>
      </c>
      <c r="R258" s="1" t="str">
        <f t="shared" si="17"/>
        <v>low</v>
      </c>
      <c r="S258" s="1" t="str" cm="1">
        <f t="array" ref="S258">_xlfn.IFS(L258&gt;5,"high",L258=5,"medium",L258&lt;5,"low")</f>
        <v>low</v>
      </c>
      <c r="T258" s="10" t="str">
        <f t="shared" si="18"/>
        <v>low</v>
      </c>
      <c r="U258" s="1">
        <f t="shared" si="19"/>
        <v>721.8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O259*N259%</f>
        <v>0</v>
      </c>
      <c r="Q259" s="1">
        <f t="shared" ref="Q259:Q322" si="21">O259-P259</f>
        <v>12628.35</v>
      </c>
      <c r="R259" s="1" t="str">
        <f t="shared" ref="R259:R322" si="22">IF(L259&gt;=5,"high","low")</f>
        <v>high</v>
      </c>
      <c r="S259" s="1" t="str" cm="1">
        <f t="array" ref="S259">_xlfn.IFS(L259&gt;5,"high",L259=5,"medium",L259&lt;5,"low")</f>
        <v>high</v>
      </c>
      <c r="T259" s="10" t="str">
        <f t="shared" ref="T259:T322" si="23">IF(L259&gt;5,"high",IF(L259=5,"medium","low"))</f>
        <v>high</v>
      </c>
      <c r="U259" s="1">
        <f t="shared" ref="U259:U322" si="24">L259*M259</f>
        <v>12628.35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523.22149999999999</v>
      </c>
      <c r="Q260" s="1">
        <f t="shared" si="21"/>
        <v>9941.2085000000006</v>
      </c>
      <c r="R260" s="1" t="str">
        <f t="shared" si="22"/>
        <v>high</v>
      </c>
      <c r="S260" s="1" t="str" cm="1">
        <f t="array" ref="S260">_xlfn.IFS(L260&gt;5,"high",L260=5,"medium",L260&lt;5,"low")</f>
        <v>high</v>
      </c>
      <c r="T260" s="10" t="str">
        <f t="shared" si="23"/>
        <v>high</v>
      </c>
      <c r="U260" s="1">
        <f t="shared" si="24"/>
        <v>11015.19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92.242999999999995</v>
      </c>
      <c r="Q261" s="1">
        <f t="shared" si="21"/>
        <v>1752.617</v>
      </c>
      <c r="R261" s="1" t="str">
        <f t="shared" si="22"/>
        <v>low</v>
      </c>
      <c r="S261" s="1" t="str" cm="1">
        <f t="array" ref="S261">_xlfn.IFS(L261&gt;5,"high",L261=5,"medium",L261&lt;5,"low")</f>
        <v>low</v>
      </c>
      <c r="T261" s="10" t="str">
        <f t="shared" si="23"/>
        <v>low</v>
      </c>
      <c r="U261" s="1">
        <f t="shared" si="24"/>
        <v>1941.96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0</v>
      </c>
      <c r="Q262" s="1">
        <f t="shared" si="21"/>
        <v>1066.5</v>
      </c>
      <c r="R262" s="1" t="str">
        <f t="shared" si="22"/>
        <v>low</v>
      </c>
      <c r="S262" s="1" t="str" cm="1">
        <f t="array" ref="S262">_xlfn.IFS(L262&gt;5,"high",L262=5,"medium",L262&lt;5,"low")</f>
        <v>low</v>
      </c>
      <c r="T262" s="10" t="str">
        <f t="shared" si="23"/>
        <v>low</v>
      </c>
      <c r="U262" s="1">
        <f t="shared" si="24"/>
        <v>1066.5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1557.5430000000001</v>
      </c>
      <c r="Q263" s="1">
        <f t="shared" si="21"/>
        <v>14017.887000000001</v>
      </c>
      <c r="R263" s="1" t="str">
        <f t="shared" si="22"/>
        <v>high</v>
      </c>
      <c r="S263" s="1" t="str" cm="1">
        <f t="array" ref="S263">_xlfn.IFS(L263&gt;5,"high",L263=5,"medium",L263&lt;5,"low")</f>
        <v>high</v>
      </c>
      <c r="T263" s="10" t="str">
        <f t="shared" si="23"/>
        <v>high</v>
      </c>
      <c r="U263" s="1">
        <f t="shared" si="24"/>
        <v>17306.03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0</v>
      </c>
      <c r="Q264" s="1">
        <f t="shared" si="21"/>
        <v>15161.02</v>
      </c>
      <c r="R264" s="1" t="str">
        <f t="shared" si="22"/>
        <v>high</v>
      </c>
      <c r="S264" s="1" t="str" cm="1">
        <f t="array" ref="S264">_xlfn.IFS(L264&gt;5,"high",L264=5,"medium",L264&lt;5,"low")</f>
        <v>high</v>
      </c>
      <c r="T264" s="10" t="str">
        <f t="shared" si="23"/>
        <v>high</v>
      </c>
      <c r="U264" s="1">
        <f t="shared" si="24"/>
        <v>15161.02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720.83199999999999</v>
      </c>
      <c r="Q265" s="1">
        <f t="shared" si="21"/>
        <v>2883.328</v>
      </c>
      <c r="R265" s="1" t="str">
        <f t="shared" si="22"/>
        <v>low</v>
      </c>
      <c r="S265" s="1" t="str" cm="1">
        <f t="array" ref="S265">_xlfn.IFS(L265&gt;5,"high",L265=5,"medium",L265&lt;5,"low")</f>
        <v>low</v>
      </c>
      <c r="T265" s="10" t="str">
        <f t="shared" si="23"/>
        <v>low</v>
      </c>
      <c r="U265" s="1">
        <f t="shared" si="24"/>
        <v>4505.2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2826.9500000000003</v>
      </c>
      <c r="Q266" s="1">
        <f t="shared" si="21"/>
        <v>11307.8</v>
      </c>
      <c r="R266" s="1" t="str">
        <f t="shared" si="22"/>
        <v>high</v>
      </c>
      <c r="S266" s="1" t="str" cm="1">
        <f t="array" ref="S266">_xlfn.IFS(L266&gt;5,"high",L266=5,"medium",L266&lt;5,"low")</f>
        <v>high</v>
      </c>
      <c r="T266" s="10" t="str">
        <f t="shared" si="23"/>
        <v>high</v>
      </c>
      <c r="U266" s="1">
        <f t="shared" si="24"/>
        <v>17668.440000000002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1472.4650000000001</v>
      </c>
      <c r="Q267" s="1">
        <f t="shared" si="21"/>
        <v>13252.184999999999</v>
      </c>
      <c r="R267" s="1" t="str">
        <f t="shared" si="22"/>
        <v>high</v>
      </c>
      <c r="S267" s="1" t="str" cm="1">
        <f t="array" ref="S267">_xlfn.IFS(L267&gt;5,"high",L267=5,"medium",L267&lt;5,"low")</f>
        <v>high</v>
      </c>
      <c r="T267" s="10" t="str">
        <f t="shared" si="23"/>
        <v>high</v>
      </c>
      <c r="U267" s="1">
        <f t="shared" si="24"/>
        <v>16360.72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42.787000000000006</v>
      </c>
      <c r="Q268" s="1">
        <f t="shared" si="21"/>
        <v>812.95299999999997</v>
      </c>
      <c r="R268" s="1" t="str">
        <f t="shared" si="22"/>
        <v>low</v>
      </c>
      <c r="S268" s="1" t="str" cm="1">
        <f t="array" ref="S268">_xlfn.IFS(L268&gt;5,"high",L268=5,"medium",L268&lt;5,"low")</f>
        <v>low</v>
      </c>
      <c r="T268" s="10" t="str">
        <f t="shared" si="23"/>
        <v>low</v>
      </c>
      <c r="U268" s="1">
        <f t="shared" si="24"/>
        <v>900.78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239.45000000000002</v>
      </c>
      <c r="Q269" s="1">
        <f t="shared" si="21"/>
        <v>2155.0500000000002</v>
      </c>
      <c r="R269" s="1" t="str">
        <f t="shared" si="22"/>
        <v>low</v>
      </c>
      <c r="S269" s="1" t="str" cm="1">
        <f t="array" ref="S269">_xlfn.IFS(L269&gt;5,"high",L269=5,"medium",L269&lt;5,"low")</f>
        <v>low</v>
      </c>
      <c r="T269" s="10" t="str">
        <f t="shared" si="23"/>
        <v>low</v>
      </c>
      <c r="U269" s="1">
        <f t="shared" si="24"/>
        <v>2660.56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2525.232</v>
      </c>
      <c r="Q270" s="1">
        <f t="shared" si="21"/>
        <v>10100.928</v>
      </c>
      <c r="R270" s="1" t="str">
        <f t="shared" si="22"/>
        <v>high</v>
      </c>
      <c r="S270" s="1" t="str" cm="1">
        <f t="array" ref="S270">_xlfn.IFS(L270&gt;5,"high",L270=5,"medium",L270&lt;5,"low")</f>
        <v>medium</v>
      </c>
      <c r="T270" s="10" t="str">
        <f t="shared" si="23"/>
        <v>medium</v>
      </c>
      <c r="U270" s="1">
        <f t="shared" si="24"/>
        <v>15782.7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1726.45</v>
      </c>
      <c r="Q271" s="1">
        <f t="shared" si="21"/>
        <v>15538.05</v>
      </c>
      <c r="R271" s="1" t="str">
        <f t="shared" si="22"/>
        <v>high</v>
      </c>
      <c r="S271" s="1" t="str" cm="1">
        <f t="array" ref="S271">_xlfn.IFS(L271&gt;5,"high",L271=5,"medium",L271&lt;5,"low")</f>
        <v>high</v>
      </c>
      <c r="T271" s="10" t="str">
        <f t="shared" si="23"/>
        <v>high</v>
      </c>
      <c r="U271" s="1">
        <f t="shared" si="24"/>
        <v>19182.78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0</v>
      </c>
      <c r="Q272" s="1">
        <f t="shared" si="21"/>
        <v>7408.53</v>
      </c>
      <c r="R272" s="1" t="str">
        <f t="shared" si="22"/>
        <v>low</v>
      </c>
      <c r="S272" s="1" t="str" cm="1">
        <f t="array" ref="S272">_xlfn.IFS(L272&gt;5,"high",L272=5,"medium",L272&lt;5,"low")</f>
        <v>low</v>
      </c>
      <c r="T272" s="10" t="str">
        <f t="shared" si="23"/>
        <v>low</v>
      </c>
      <c r="U272" s="1">
        <f t="shared" si="24"/>
        <v>7408.5300000000007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1717.046</v>
      </c>
      <c r="Q273" s="1">
        <f t="shared" si="21"/>
        <v>15453.413999999999</v>
      </c>
      <c r="R273" s="1" t="str">
        <f t="shared" si="22"/>
        <v>high</v>
      </c>
      <c r="S273" s="1" t="str" cm="1">
        <f t="array" ref="S273">_xlfn.IFS(L273&gt;5,"high",L273=5,"medium",L273&lt;5,"low")</f>
        <v>high</v>
      </c>
      <c r="T273" s="10" t="str">
        <f t="shared" si="23"/>
        <v>high</v>
      </c>
      <c r="U273" s="1">
        <f t="shared" si="24"/>
        <v>19078.29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109.69100000000002</v>
      </c>
      <c r="Q274" s="1">
        <f t="shared" si="21"/>
        <v>2084.1290000000004</v>
      </c>
      <c r="R274" s="1" t="str">
        <f t="shared" si="22"/>
        <v>high</v>
      </c>
      <c r="S274" s="1" t="str" cm="1">
        <f t="array" ref="S274">_xlfn.IFS(L274&gt;5,"high",L274=5,"medium",L274&lt;5,"low")</f>
        <v>high</v>
      </c>
      <c r="T274" s="10" t="str">
        <f t="shared" si="23"/>
        <v>high</v>
      </c>
      <c r="U274" s="1">
        <f t="shared" si="24"/>
        <v>2309.2799999999997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0</v>
      </c>
      <c r="Q275" s="1">
        <f t="shared" si="21"/>
        <v>5032.6000000000004</v>
      </c>
      <c r="R275" s="1" t="str">
        <f t="shared" si="22"/>
        <v>low</v>
      </c>
      <c r="S275" s="1" t="str" cm="1">
        <f t="array" ref="S275">_xlfn.IFS(L275&gt;5,"high",L275=5,"medium",L275&lt;5,"low")</f>
        <v>low</v>
      </c>
      <c r="T275" s="10" t="str">
        <f t="shared" si="23"/>
        <v>low</v>
      </c>
      <c r="U275" s="1">
        <f t="shared" si="24"/>
        <v>5032.6000000000004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454.37099999999998</v>
      </c>
      <c r="Q276" s="1">
        <f t="shared" si="21"/>
        <v>2574.7689999999998</v>
      </c>
      <c r="R276" s="1" t="str">
        <f t="shared" si="22"/>
        <v>high</v>
      </c>
      <c r="S276" s="1" t="str" cm="1">
        <f t="array" ref="S276">_xlfn.IFS(L276&gt;5,"high",L276=5,"medium",L276&lt;5,"low")</f>
        <v>high</v>
      </c>
      <c r="T276" s="10" t="str">
        <f t="shared" si="23"/>
        <v>high</v>
      </c>
      <c r="U276" s="1">
        <f t="shared" si="24"/>
        <v>3563.7000000000003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4941.7220000000007</v>
      </c>
      <c r="Q277" s="1">
        <f t="shared" si="21"/>
        <v>19766.887999999999</v>
      </c>
      <c r="R277" s="1" t="str">
        <f t="shared" si="22"/>
        <v>high</v>
      </c>
      <c r="S277" s="1" t="str" cm="1">
        <f t="array" ref="S277">_xlfn.IFS(L277&gt;5,"high",L277=5,"medium",L277&lt;5,"low")</f>
        <v>high</v>
      </c>
      <c r="T277" s="10" t="str">
        <f t="shared" si="23"/>
        <v>high</v>
      </c>
      <c r="U277" s="1">
        <f t="shared" si="24"/>
        <v>30885.759999999998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964.88600000000008</v>
      </c>
      <c r="Q278" s="1">
        <f t="shared" si="21"/>
        <v>3859.5440000000003</v>
      </c>
      <c r="R278" s="1" t="str">
        <f t="shared" si="22"/>
        <v>high</v>
      </c>
      <c r="S278" s="1" t="str" cm="1">
        <f t="array" ref="S278">_xlfn.IFS(L278&gt;5,"high",L278=5,"medium",L278&lt;5,"low")</f>
        <v>high</v>
      </c>
      <c r="T278" s="10" t="str">
        <f t="shared" si="23"/>
        <v>high</v>
      </c>
      <c r="U278" s="1">
        <f t="shared" si="24"/>
        <v>6030.5399999999991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396.54400000000004</v>
      </c>
      <c r="Q279" s="1">
        <f t="shared" si="21"/>
        <v>3568.8960000000002</v>
      </c>
      <c r="R279" s="1" t="str">
        <f t="shared" si="22"/>
        <v>high</v>
      </c>
      <c r="S279" s="1" t="str" cm="1">
        <f t="array" ref="S279">_xlfn.IFS(L279&gt;5,"high",L279=5,"medium",L279&lt;5,"low")</f>
        <v>high</v>
      </c>
      <c r="T279" s="10" t="str">
        <f t="shared" si="23"/>
        <v>high</v>
      </c>
      <c r="U279" s="1">
        <f t="shared" si="24"/>
        <v>4406.04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0</v>
      </c>
      <c r="Q280" s="1">
        <f t="shared" si="21"/>
        <v>21449.22</v>
      </c>
      <c r="R280" s="1" t="str">
        <f t="shared" si="22"/>
        <v>high</v>
      </c>
      <c r="S280" s="1" t="str" cm="1">
        <f t="array" ref="S280">_xlfn.IFS(L280&gt;5,"high",L280=5,"medium",L280&lt;5,"low")</f>
        <v>high</v>
      </c>
      <c r="T280" s="10" t="str">
        <f t="shared" si="23"/>
        <v>high</v>
      </c>
      <c r="U280" s="1">
        <f t="shared" si="24"/>
        <v>21449.22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3859.8029999999999</v>
      </c>
      <c r="Q281" s="1">
        <f t="shared" si="21"/>
        <v>21872.217000000001</v>
      </c>
      <c r="R281" s="1" t="str">
        <f t="shared" si="22"/>
        <v>high</v>
      </c>
      <c r="S281" s="1" t="str" cm="1">
        <f t="array" ref="S281">_xlfn.IFS(L281&gt;5,"high",L281=5,"medium",L281&lt;5,"low")</f>
        <v>high</v>
      </c>
      <c r="T281" s="10" t="str">
        <f t="shared" si="23"/>
        <v>high</v>
      </c>
      <c r="U281" s="1">
        <f t="shared" si="24"/>
        <v>30272.959999999999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0</v>
      </c>
      <c r="Q282" s="1">
        <f t="shared" si="21"/>
        <v>15492.2</v>
      </c>
      <c r="R282" s="1" t="str">
        <f t="shared" si="22"/>
        <v>high</v>
      </c>
      <c r="S282" s="1" t="str" cm="1">
        <f t="array" ref="S282">_xlfn.IFS(L282&gt;5,"high",L282=5,"medium",L282&lt;5,"low")</f>
        <v>medium</v>
      </c>
      <c r="T282" s="10" t="str">
        <f t="shared" si="23"/>
        <v>medium</v>
      </c>
      <c r="U282" s="1">
        <f t="shared" si="24"/>
        <v>15492.2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81.988</v>
      </c>
      <c r="Q283" s="1">
        <f t="shared" si="21"/>
        <v>327.952</v>
      </c>
      <c r="R283" s="1" t="str">
        <f t="shared" si="22"/>
        <v>low</v>
      </c>
      <c r="S283" s="1" t="str" cm="1">
        <f t="array" ref="S283">_xlfn.IFS(L283&gt;5,"high",L283=5,"medium",L283&lt;5,"low")</f>
        <v>low</v>
      </c>
      <c r="T283" s="10" t="str">
        <f t="shared" si="23"/>
        <v>low</v>
      </c>
      <c r="U283" s="1">
        <f t="shared" si="24"/>
        <v>512.43000000000006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0</v>
      </c>
      <c r="Q284" s="1">
        <f t="shared" si="21"/>
        <v>465.54</v>
      </c>
      <c r="R284" s="1" t="str">
        <f t="shared" si="22"/>
        <v>low</v>
      </c>
      <c r="S284" s="1" t="str" cm="1">
        <f t="array" ref="S284">_xlfn.IFS(L284&gt;5,"high",L284=5,"medium",L284&lt;5,"low")</f>
        <v>low</v>
      </c>
      <c r="T284" s="10" t="str">
        <f t="shared" si="23"/>
        <v>low</v>
      </c>
      <c r="U284" s="1">
        <f t="shared" si="24"/>
        <v>465.54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1228.3530000000001</v>
      </c>
      <c r="Q285" s="1">
        <f t="shared" si="21"/>
        <v>6960.6670000000004</v>
      </c>
      <c r="R285" s="1" t="str">
        <f t="shared" si="22"/>
        <v>high</v>
      </c>
      <c r="S285" s="1" t="str" cm="1">
        <f t="array" ref="S285">_xlfn.IFS(L285&gt;5,"high",L285=5,"medium",L285&lt;5,"low")</f>
        <v>high</v>
      </c>
      <c r="T285" s="10" t="str">
        <f t="shared" si="23"/>
        <v>high</v>
      </c>
      <c r="U285" s="1">
        <f t="shared" si="24"/>
        <v>9634.14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126.373</v>
      </c>
      <c r="Q286" s="1">
        <f t="shared" si="21"/>
        <v>1137.357</v>
      </c>
      <c r="R286" s="1" t="str">
        <f t="shared" si="22"/>
        <v>low</v>
      </c>
      <c r="S286" s="1" t="str" cm="1">
        <f t="array" ref="S286">_xlfn.IFS(L286&gt;5,"high",L286=5,"medium",L286&lt;5,"low")</f>
        <v>low</v>
      </c>
      <c r="T286" s="10" t="str">
        <f t="shared" si="23"/>
        <v>low</v>
      </c>
      <c r="U286" s="1">
        <f t="shared" si="24"/>
        <v>1404.14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62.925000000000004</v>
      </c>
      <c r="Q287" s="1">
        <f t="shared" si="21"/>
        <v>1195.575</v>
      </c>
      <c r="R287" s="1" t="str">
        <f t="shared" si="22"/>
        <v>high</v>
      </c>
      <c r="S287" s="1" t="str" cm="1">
        <f t="array" ref="S287">_xlfn.IFS(L287&gt;5,"high",L287=5,"medium",L287&lt;5,"low")</f>
        <v>high</v>
      </c>
      <c r="T287" s="10" t="str">
        <f t="shared" si="23"/>
        <v>high</v>
      </c>
      <c r="U287" s="1">
        <f t="shared" si="24"/>
        <v>1324.74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0</v>
      </c>
      <c r="Q288" s="1">
        <f t="shared" si="21"/>
        <v>11619.96</v>
      </c>
      <c r="R288" s="1" t="str">
        <f t="shared" si="22"/>
        <v>high</v>
      </c>
      <c r="S288" s="1" t="str" cm="1">
        <f t="array" ref="S288">_xlfn.IFS(L288&gt;5,"high",L288=5,"medium",L288&lt;5,"low")</f>
        <v>high</v>
      </c>
      <c r="T288" s="10" t="str">
        <f t="shared" si="23"/>
        <v>high</v>
      </c>
      <c r="U288" s="1">
        <f t="shared" si="24"/>
        <v>11619.960000000001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1436.7</v>
      </c>
      <c r="Q289" s="1">
        <f t="shared" si="21"/>
        <v>27297.3</v>
      </c>
      <c r="R289" s="1" t="str">
        <f t="shared" si="22"/>
        <v>high</v>
      </c>
      <c r="S289" s="1" t="str" cm="1">
        <f t="array" ref="S289">_xlfn.IFS(L289&gt;5,"high",L289=5,"medium",L289&lt;5,"low")</f>
        <v>high</v>
      </c>
      <c r="T289" s="10" t="str">
        <f t="shared" si="23"/>
        <v>high</v>
      </c>
      <c r="U289" s="1">
        <f t="shared" si="24"/>
        <v>30246.32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1564.316</v>
      </c>
      <c r="Q290" s="1">
        <f t="shared" si="21"/>
        <v>6257.2640000000001</v>
      </c>
      <c r="R290" s="1" t="str">
        <f t="shared" si="22"/>
        <v>high</v>
      </c>
      <c r="S290" s="1" t="str" cm="1">
        <f t="array" ref="S290">_xlfn.IFS(L290&gt;5,"high",L290=5,"medium",L290&lt;5,"low")</f>
        <v>high</v>
      </c>
      <c r="T290" s="10" t="str">
        <f t="shared" si="23"/>
        <v>high</v>
      </c>
      <c r="U290" s="1">
        <f t="shared" si="24"/>
        <v>9776.9700000000012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1940.6810000000003</v>
      </c>
      <c r="Q291" s="1">
        <f t="shared" si="21"/>
        <v>17466.129000000001</v>
      </c>
      <c r="R291" s="1" t="str">
        <f t="shared" si="22"/>
        <v>high</v>
      </c>
      <c r="S291" s="1" t="str" cm="1">
        <f t="array" ref="S291">_xlfn.IFS(L291&gt;5,"high",L291=5,"medium",L291&lt;5,"low")</f>
        <v>high</v>
      </c>
      <c r="T291" s="10" t="str">
        <f t="shared" si="23"/>
        <v>high</v>
      </c>
      <c r="U291" s="1">
        <f t="shared" si="24"/>
        <v>21563.119999999999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2155.4990000000003</v>
      </c>
      <c r="Q292" s="1">
        <f t="shared" si="21"/>
        <v>19399.491000000002</v>
      </c>
      <c r="R292" s="1" t="str">
        <f t="shared" si="22"/>
        <v>high</v>
      </c>
      <c r="S292" s="1" t="str" cm="1">
        <f t="array" ref="S292">_xlfn.IFS(L292&gt;5,"high",L292=5,"medium",L292&lt;5,"low")</f>
        <v>high</v>
      </c>
      <c r="T292" s="10" t="str">
        <f t="shared" si="23"/>
        <v>high</v>
      </c>
      <c r="U292" s="1">
        <f t="shared" si="24"/>
        <v>23949.99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0</v>
      </c>
      <c r="Q293" s="1">
        <f t="shared" si="21"/>
        <v>6699.96</v>
      </c>
      <c r="R293" s="1" t="str">
        <f t="shared" si="22"/>
        <v>high</v>
      </c>
      <c r="S293" s="1" t="str" cm="1">
        <f t="array" ref="S293">_xlfn.IFS(L293&gt;5,"high",L293=5,"medium",L293&lt;5,"low")</f>
        <v>high</v>
      </c>
      <c r="T293" s="10" t="str">
        <f t="shared" si="23"/>
        <v>high</v>
      </c>
      <c r="U293" s="1">
        <f t="shared" si="24"/>
        <v>6699.9600000000009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716.61800000000005</v>
      </c>
      <c r="Q294" s="1">
        <f t="shared" si="21"/>
        <v>6449.5619999999999</v>
      </c>
      <c r="R294" s="1" t="str">
        <f t="shared" si="22"/>
        <v>low</v>
      </c>
      <c r="S294" s="1" t="str" cm="1">
        <f t="array" ref="S294">_xlfn.IFS(L294&gt;5,"high",L294=5,"medium",L294&lt;5,"low")</f>
        <v>low</v>
      </c>
      <c r="T294" s="10" t="str">
        <f t="shared" si="23"/>
        <v>low</v>
      </c>
      <c r="U294" s="1">
        <f t="shared" si="24"/>
        <v>7962.42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0</v>
      </c>
      <c r="Q295" s="1">
        <f t="shared" si="21"/>
        <v>2902.47</v>
      </c>
      <c r="R295" s="1" t="str">
        <f t="shared" si="22"/>
        <v>low</v>
      </c>
      <c r="S295" s="1" t="str" cm="1">
        <f t="array" ref="S295">_xlfn.IFS(L295&gt;5,"high",L295=5,"medium",L295&lt;5,"low")</f>
        <v>low</v>
      </c>
      <c r="T295" s="10" t="str">
        <f t="shared" si="23"/>
        <v>low</v>
      </c>
      <c r="U295" s="1">
        <f t="shared" si="24"/>
        <v>2902.4700000000003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0</v>
      </c>
      <c r="Q296" s="1">
        <f t="shared" si="21"/>
        <v>619.73</v>
      </c>
      <c r="R296" s="1" t="str">
        <f t="shared" si="22"/>
        <v>low</v>
      </c>
      <c r="S296" s="1" t="str" cm="1">
        <f t="array" ref="S296">_xlfn.IFS(L296&gt;5,"high",L296=5,"medium",L296&lt;5,"low")</f>
        <v>low</v>
      </c>
      <c r="T296" s="10" t="str">
        <f t="shared" si="23"/>
        <v>low</v>
      </c>
      <c r="U296" s="1">
        <f t="shared" si="24"/>
        <v>619.73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676.95350000000008</v>
      </c>
      <c r="Q297" s="1">
        <f t="shared" si="21"/>
        <v>12862.1165</v>
      </c>
      <c r="R297" s="1" t="str">
        <f t="shared" si="22"/>
        <v>high</v>
      </c>
      <c r="S297" s="1" t="str" cm="1">
        <f t="array" ref="S297">_xlfn.IFS(L297&gt;5,"high",L297=5,"medium",L297&lt;5,"low")</f>
        <v>medium</v>
      </c>
      <c r="T297" s="10" t="str">
        <f t="shared" si="23"/>
        <v>medium</v>
      </c>
      <c r="U297" s="1">
        <f t="shared" si="24"/>
        <v>14251.65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211.23000000000002</v>
      </c>
      <c r="Q298" s="1">
        <f t="shared" si="21"/>
        <v>1901.0700000000002</v>
      </c>
      <c r="R298" s="1" t="str">
        <f t="shared" si="22"/>
        <v>low</v>
      </c>
      <c r="S298" s="1" t="str" cm="1">
        <f t="array" ref="S298">_xlfn.IFS(L298&gt;5,"high",L298=5,"medium",L298&lt;5,"low")</f>
        <v>low</v>
      </c>
      <c r="T298" s="10" t="str">
        <f t="shared" si="23"/>
        <v>low</v>
      </c>
      <c r="U298" s="1">
        <f t="shared" si="24"/>
        <v>2347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0</v>
      </c>
      <c r="Q299" s="1">
        <f t="shared" si="21"/>
        <v>35892.9</v>
      </c>
      <c r="R299" s="1" t="str">
        <f t="shared" si="22"/>
        <v>high</v>
      </c>
      <c r="S299" s="1" t="str" cm="1">
        <f t="array" ref="S299">_xlfn.IFS(L299&gt;5,"high",L299=5,"medium",L299&lt;5,"low")</f>
        <v>high</v>
      </c>
      <c r="T299" s="10" t="str">
        <f t="shared" si="23"/>
        <v>high</v>
      </c>
      <c r="U299" s="1">
        <f t="shared" si="24"/>
        <v>35892.9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366.06400000000002</v>
      </c>
      <c r="Q300" s="1">
        <f t="shared" si="21"/>
        <v>6955.2159999999994</v>
      </c>
      <c r="R300" s="1" t="str">
        <f t="shared" si="22"/>
        <v>high</v>
      </c>
      <c r="S300" s="1" t="str" cm="1">
        <f t="array" ref="S300">_xlfn.IFS(L300&gt;5,"high",L300=5,"medium",L300&lt;5,"low")</f>
        <v>high</v>
      </c>
      <c r="T300" s="10" t="str">
        <f t="shared" si="23"/>
        <v>high</v>
      </c>
      <c r="U300" s="1">
        <f t="shared" si="24"/>
        <v>7706.61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1553.874</v>
      </c>
      <c r="Q301" s="1">
        <f t="shared" si="21"/>
        <v>8805.2860000000001</v>
      </c>
      <c r="R301" s="1" t="str">
        <f t="shared" si="22"/>
        <v>high</v>
      </c>
      <c r="S301" s="1" t="str" cm="1">
        <f t="array" ref="S301">_xlfn.IFS(L301&gt;5,"high",L301=5,"medium",L301&lt;5,"low")</f>
        <v>medium</v>
      </c>
      <c r="T301" s="10" t="str">
        <f t="shared" si="23"/>
        <v>medium</v>
      </c>
      <c r="U301" s="1">
        <f t="shared" si="24"/>
        <v>12187.25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329.42</v>
      </c>
      <c r="Q302" s="1">
        <f t="shared" si="21"/>
        <v>6258.98</v>
      </c>
      <c r="R302" s="1" t="str">
        <f t="shared" si="22"/>
        <v>low</v>
      </c>
      <c r="S302" s="1" t="str" cm="1">
        <f t="array" ref="S302">_xlfn.IFS(L302&gt;5,"high",L302=5,"medium",L302&lt;5,"low")</f>
        <v>low</v>
      </c>
      <c r="T302" s="10" t="str">
        <f t="shared" si="23"/>
        <v>low</v>
      </c>
      <c r="U302" s="1">
        <f t="shared" si="24"/>
        <v>6935.16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211.666</v>
      </c>
      <c r="Q303" s="1">
        <f t="shared" si="21"/>
        <v>4021.6539999999995</v>
      </c>
      <c r="R303" s="1" t="str">
        <f t="shared" si="22"/>
        <v>high</v>
      </c>
      <c r="S303" s="1" t="str" cm="1">
        <f t="array" ref="S303">_xlfn.IFS(L303&gt;5,"high",L303=5,"medium",L303&lt;5,"low")</f>
        <v>high</v>
      </c>
      <c r="T303" s="10" t="str">
        <f t="shared" si="23"/>
        <v>high</v>
      </c>
      <c r="U303" s="1">
        <f t="shared" si="24"/>
        <v>4456.13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0</v>
      </c>
      <c r="Q304" s="1">
        <f t="shared" si="21"/>
        <v>1543.2</v>
      </c>
      <c r="R304" s="1" t="str">
        <f t="shared" si="22"/>
        <v>high</v>
      </c>
      <c r="S304" s="1" t="str" cm="1">
        <f t="array" ref="S304">_xlfn.IFS(L304&gt;5,"high",L304=5,"medium",L304&lt;5,"low")</f>
        <v>high</v>
      </c>
      <c r="T304" s="10" t="str">
        <f t="shared" si="23"/>
        <v>high</v>
      </c>
      <c r="U304" s="1">
        <f t="shared" si="24"/>
        <v>1543.1999999999998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1630.4120000000003</v>
      </c>
      <c r="Q305" s="1">
        <f t="shared" si="21"/>
        <v>6521.6480000000001</v>
      </c>
      <c r="R305" s="1" t="str">
        <f t="shared" si="22"/>
        <v>low</v>
      </c>
      <c r="S305" s="1" t="str" cm="1">
        <f t="array" ref="S305">_xlfn.IFS(L305&gt;5,"high",L305=5,"medium",L305&lt;5,"low")</f>
        <v>low</v>
      </c>
      <c r="T305" s="10" t="str">
        <f t="shared" si="23"/>
        <v>low</v>
      </c>
      <c r="U305" s="1">
        <f t="shared" si="24"/>
        <v>10190.08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1041.9260000000002</v>
      </c>
      <c r="Q306" s="1">
        <f t="shared" si="21"/>
        <v>4167.7039999999997</v>
      </c>
      <c r="R306" s="1" t="str">
        <f t="shared" si="22"/>
        <v>low</v>
      </c>
      <c r="S306" s="1" t="str" cm="1">
        <f t="array" ref="S306">_xlfn.IFS(L306&gt;5,"high",L306=5,"medium",L306&lt;5,"low")</f>
        <v>low</v>
      </c>
      <c r="T306" s="10" t="str">
        <f t="shared" si="23"/>
        <v>low</v>
      </c>
      <c r="U306" s="1">
        <f t="shared" si="24"/>
        <v>6512.04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542.68200000000002</v>
      </c>
      <c r="Q307" s="1">
        <f t="shared" si="21"/>
        <v>2170.7280000000001</v>
      </c>
      <c r="R307" s="1" t="str">
        <f t="shared" si="22"/>
        <v>low</v>
      </c>
      <c r="S307" s="1" t="str" cm="1">
        <f t="array" ref="S307">_xlfn.IFS(L307&gt;5,"high",L307=5,"medium",L307&lt;5,"low")</f>
        <v>low</v>
      </c>
      <c r="T307" s="10" t="str">
        <f t="shared" si="23"/>
        <v>low</v>
      </c>
      <c r="U307" s="1">
        <f t="shared" si="24"/>
        <v>3391.76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381.60550000000001</v>
      </c>
      <c r="Q308" s="1">
        <f t="shared" si="21"/>
        <v>7250.5045</v>
      </c>
      <c r="R308" s="1" t="str">
        <f t="shared" si="22"/>
        <v>low</v>
      </c>
      <c r="S308" s="1" t="str" cm="1">
        <f t="array" ref="S308">_xlfn.IFS(L308&gt;5,"high",L308=5,"medium",L308&lt;5,"low")</f>
        <v>low</v>
      </c>
      <c r="T308" s="10" t="str">
        <f t="shared" si="23"/>
        <v>low</v>
      </c>
      <c r="U308" s="1">
        <f t="shared" si="24"/>
        <v>8033.8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0</v>
      </c>
      <c r="Q309" s="1">
        <f t="shared" si="21"/>
        <v>12572.8</v>
      </c>
      <c r="R309" s="1" t="str">
        <f t="shared" si="22"/>
        <v>low</v>
      </c>
      <c r="S309" s="1" t="str" cm="1">
        <f t="array" ref="S309">_xlfn.IFS(L309&gt;5,"high",L309=5,"medium",L309&lt;5,"low")</f>
        <v>low</v>
      </c>
      <c r="T309" s="10" t="str">
        <f t="shared" si="23"/>
        <v>low</v>
      </c>
      <c r="U309" s="1">
        <f t="shared" si="24"/>
        <v>12572.8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246.64099999999999</v>
      </c>
      <c r="Q310" s="1">
        <f t="shared" si="21"/>
        <v>2219.7689999999998</v>
      </c>
      <c r="R310" s="1" t="str">
        <f t="shared" si="22"/>
        <v>low</v>
      </c>
      <c r="S310" s="1" t="str" cm="1">
        <f t="array" ref="S310">_xlfn.IFS(L310&gt;5,"high",L310=5,"medium",L310&lt;5,"low")</f>
        <v>low</v>
      </c>
      <c r="T310" s="10" t="str">
        <f t="shared" si="23"/>
        <v>low</v>
      </c>
      <c r="U310" s="1">
        <f t="shared" si="24"/>
        <v>2740.46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837.43850000000009</v>
      </c>
      <c r="Q311" s="1">
        <f t="shared" si="21"/>
        <v>15911.3315</v>
      </c>
      <c r="R311" s="1" t="str">
        <f t="shared" si="22"/>
        <v>high</v>
      </c>
      <c r="S311" s="1" t="str" cm="1">
        <f t="array" ref="S311">_xlfn.IFS(L311&gt;5,"high",L311=5,"medium",L311&lt;5,"low")</f>
        <v>high</v>
      </c>
      <c r="T311" s="10" t="str">
        <f t="shared" si="23"/>
        <v>high</v>
      </c>
      <c r="U311" s="1">
        <f t="shared" si="24"/>
        <v>17630.28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388.83699999999999</v>
      </c>
      <c r="Q312" s="1">
        <f t="shared" si="21"/>
        <v>7387.9030000000002</v>
      </c>
      <c r="R312" s="1" t="str">
        <f t="shared" si="22"/>
        <v>low</v>
      </c>
      <c r="S312" s="1" t="str" cm="1">
        <f t="array" ref="S312">_xlfn.IFS(L312&gt;5,"high",L312=5,"medium",L312&lt;5,"low")</f>
        <v>low</v>
      </c>
      <c r="T312" s="10" t="str">
        <f t="shared" si="23"/>
        <v>low</v>
      </c>
      <c r="U312" s="1">
        <f t="shared" si="24"/>
        <v>8186.04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0</v>
      </c>
      <c r="Q313" s="1">
        <f t="shared" si="21"/>
        <v>2588.64</v>
      </c>
      <c r="R313" s="1" t="str">
        <f t="shared" si="22"/>
        <v>low</v>
      </c>
      <c r="S313" s="1" t="str" cm="1">
        <f t="array" ref="S313">_xlfn.IFS(L313&gt;5,"high",L313=5,"medium",L313&lt;5,"low")</f>
        <v>low</v>
      </c>
      <c r="T313" s="10" t="str">
        <f t="shared" si="23"/>
        <v>low</v>
      </c>
      <c r="U313" s="1">
        <f t="shared" si="24"/>
        <v>2588.64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414.53699999999998</v>
      </c>
      <c r="Q314" s="1">
        <f t="shared" si="21"/>
        <v>2349.0430000000001</v>
      </c>
      <c r="R314" s="1" t="str">
        <f t="shared" si="22"/>
        <v>low</v>
      </c>
      <c r="S314" s="1" t="str" cm="1">
        <f t="array" ref="S314">_xlfn.IFS(L314&gt;5,"high",L314=5,"medium",L314&lt;5,"low")</f>
        <v>low</v>
      </c>
      <c r="T314" s="10" t="str">
        <f t="shared" si="23"/>
        <v>low</v>
      </c>
      <c r="U314" s="1">
        <f t="shared" si="24"/>
        <v>3251.27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79.888000000000005</v>
      </c>
      <c r="Q315" s="1">
        <f t="shared" si="21"/>
        <v>1517.8720000000001</v>
      </c>
      <c r="R315" s="1" t="str">
        <f t="shared" si="22"/>
        <v>low</v>
      </c>
      <c r="S315" s="1" t="str" cm="1">
        <f t="array" ref="S315">_xlfn.IFS(L315&gt;5,"high",L315=5,"medium",L315&lt;5,"low")</f>
        <v>low</v>
      </c>
      <c r="T315" s="10" t="str">
        <f t="shared" si="23"/>
        <v>low</v>
      </c>
      <c r="U315" s="1">
        <f t="shared" si="24"/>
        <v>1681.85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3318.0810000000001</v>
      </c>
      <c r="Q316" s="1">
        <f t="shared" si="21"/>
        <v>18802.459000000003</v>
      </c>
      <c r="R316" s="1" t="str">
        <f t="shared" si="22"/>
        <v>high</v>
      </c>
      <c r="S316" s="1" t="str" cm="1">
        <f t="array" ref="S316">_xlfn.IFS(L316&gt;5,"high",L316=5,"medium",L316&lt;5,"low")</f>
        <v>high</v>
      </c>
      <c r="T316" s="10" t="str">
        <f t="shared" si="23"/>
        <v>high</v>
      </c>
      <c r="U316" s="1">
        <f t="shared" si="24"/>
        <v>26024.16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2477.8454999999999</v>
      </c>
      <c r="Q317" s="1">
        <f t="shared" si="21"/>
        <v>14041.124500000002</v>
      </c>
      <c r="R317" s="1" t="str">
        <f t="shared" si="22"/>
        <v>high</v>
      </c>
      <c r="S317" s="1" t="str" cm="1">
        <f t="array" ref="S317">_xlfn.IFS(L317&gt;5,"high",L317=5,"medium",L317&lt;5,"low")</f>
        <v>high</v>
      </c>
      <c r="T317" s="10" t="str">
        <f t="shared" si="23"/>
        <v>high</v>
      </c>
      <c r="U317" s="1">
        <f t="shared" si="24"/>
        <v>19434.080000000002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252.39000000000001</v>
      </c>
      <c r="Q318" s="1">
        <f t="shared" si="21"/>
        <v>1009.5600000000001</v>
      </c>
      <c r="R318" s="1" t="str">
        <f t="shared" si="22"/>
        <v>low</v>
      </c>
      <c r="S318" s="1" t="str" cm="1">
        <f t="array" ref="S318">_xlfn.IFS(L318&gt;5,"high",L318=5,"medium",L318&lt;5,"low")</f>
        <v>low</v>
      </c>
      <c r="T318" s="10" t="str">
        <f t="shared" si="23"/>
        <v>low</v>
      </c>
      <c r="U318" s="1">
        <f t="shared" si="24"/>
        <v>1577.44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0</v>
      </c>
      <c r="Q319" s="1">
        <f t="shared" si="21"/>
        <v>1715.21</v>
      </c>
      <c r="R319" s="1" t="str">
        <f t="shared" si="22"/>
        <v>high</v>
      </c>
      <c r="S319" s="1" t="str" cm="1">
        <f t="array" ref="S319">_xlfn.IFS(L319&gt;5,"high",L319=5,"medium",L319&lt;5,"low")</f>
        <v>high</v>
      </c>
      <c r="T319" s="10" t="str">
        <f t="shared" si="23"/>
        <v>high</v>
      </c>
      <c r="U319" s="1">
        <f t="shared" si="24"/>
        <v>1715.21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1577.5319999999999</v>
      </c>
      <c r="Q320" s="1">
        <f t="shared" si="21"/>
        <v>8939.348</v>
      </c>
      <c r="R320" s="1" t="str">
        <f t="shared" si="22"/>
        <v>high</v>
      </c>
      <c r="S320" s="1" t="str" cm="1">
        <f t="array" ref="S320">_xlfn.IFS(L320&gt;5,"high",L320=5,"medium",L320&lt;5,"low")</f>
        <v>high</v>
      </c>
      <c r="T320" s="10" t="str">
        <f t="shared" si="23"/>
        <v>high</v>
      </c>
      <c r="U320" s="1">
        <f t="shared" si="24"/>
        <v>12372.8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0</v>
      </c>
      <c r="Q321" s="1">
        <f t="shared" si="21"/>
        <v>18038.240000000002</v>
      </c>
      <c r="R321" s="1" t="str">
        <f t="shared" si="22"/>
        <v>high</v>
      </c>
      <c r="S321" s="1" t="str" cm="1">
        <f t="array" ref="S321">_xlfn.IFS(L321&gt;5,"high",L321=5,"medium",L321&lt;5,"low")</f>
        <v>high</v>
      </c>
      <c r="T321" s="10" t="str">
        <f t="shared" si="23"/>
        <v>high</v>
      </c>
      <c r="U321" s="1">
        <f t="shared" si="24"/>
        <v>18038.240000000002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3789.3080000000004</v>
      </c>
      <c r="Q322" s="1">
        <f t="shared" si="21"/>
        <v>15157.232</v>
      </c>
      <c r="R322" s="1" t="str">
        <f t="shared" si="22"/>
        <v>high</v>
      </c>
      <c r="S322" s="1" t="str" cm="1">
        <f t="array" ref="S322">_xlfn.IFS(L322&gt;5,"high",L322=5,"medium",L322&lt;5,"low")</f>
        <v>high</v>
      </c>
      <c r="T322" s="10" t="str">
        <f t="shared" si="23"/>
        <v>high</v>
      </c>
      <c r="U322" s="1">
        <f t="shared" si="24"/>
        <v>23683.17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O323*N323%</f>
        <v>0</v>
      </c>
      <c r="Q323" s="1">
        <f t="shared" ref="Q323:Q386" si="26">O323-P323</f>
        <v>3204.1</v>
      </c>
      <c r="R323" s="1" t="str">
        <f t="shared" ref="R323:R386" si="27">IF(L323&gt;=5,"high","low")</f>
        <v>high</v>
      </c>
      <c r="S323" s="1" t="str" cm="1">
        <f t="array" ref="S323">_xlfn.IFS(L323&gt;5,"high",L323=5,"medium",L323&lt;5,"low")</f>
        <v>medium</v>
      </c>
      <c r="T323" s="10" t="str">
        <f t="shared" ref="T323:T386" si="28">IF(L323&gt;5,"high",IF(L323=5,"medium","low"))</f>
        <v>medium</v>
      </c>
      <c r="U323" s="1">
        <f t="shared" ref="U323:U386" si="29">L323*M323</f>
        <v>3204.1000000000004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153.46250000000001</v>
      </c>
      <c r="Q324" s="1">
        <f t="shared" si="26"/>
        <v>2915.7874999999999</v>
      </c>
      <c r="R324" s="1" t="str">
        <f t="shared" si="27"/>
        <v>low</v>
      </c>
      <c r="S324" s="1" t="str" cm="1">
        <f t="array" ref="S324">_xlfn.IFS(L324&gt;5,"high",L324=5,"medium",L324&lt;5,"low")</f>
        <v>low</v>
      </c>
      <c r="T324" s="10" t="str">
        <f t="shared" si="28"/>
        <v>low</v>
      </c>
      <c r="U324" s="1">
        <f t="shared" si="29"/>
        <v>3230.79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3984.7860000000001</v>
      </c>
      <c r="Q325" s="1">
        <f t="shared" si="26"/>
        <v>22580.454000000002</v>
      </c>
      <c r="R325" s="1" t="str">
        <f t="shared" si="27"/>
        <v>high</v>
      </c>
      <c r="S325" s="1" t="str" cm="1">
        <f t="array" ref="S325">_xlfn.IFS(L325&gt;5,"high",L325=5,"medium",L325&lt;5,"low")</f>
        <v>high</v>
      </c>
      <c r="T325" s="10" t="str">
        <f t="shared" si="28"/>
        <v>high</v>
      </c>
      <c r="U325" s="1">
        <f t="shared" si="29"/>
        <v>31253.22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0</v>
      </c>
      <c r="Q326" s="1">
        <f t="shared" si="26"/>
        <v>5111.05</v>
      </c>
      <c r="R326" s="1" t="str">
        <f t="shared" si="27"/>
        <v>high</v>
      </c>
      <c r="S326" s="1" t="str" cm="1">
        <f t="array" ref="S326">_xlfn.IFS(L326&gt;5,"high",L326=5,"medium",L326&lt;5,"low")</f>
        <v>high</v>
      </c>
      <c r="T326" s="10" t="str">
        <f t="shared" si="28"/>
        <v>high</v>
      </c>
      <c r="U326" s="1">
        <f t="shared" si="29"/>
        <v>5111.05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617.15500000000009</v>
      </c>
      <c r="Q327" s="1">
        <f t="shared" si="26"/>
        <v>5554.3950000000004</v>
      </c>
      <c r="R327" s="1" t="str">
        <f t="shared" si="27"/>
        <v>low</v>
      </c>
      <c r="S327" s="1" t="str" cm="1">
        <f t="array" ref="S327">_xlfn.IFS(L327&gt;5,"high",L327=5,"medium",L327&lt;5,"low")</f>
        <v>low</v>
      </c>
      <c r="T327" s="10" t="str">
        <f t="shared" si="28"/>
        <v>low</v>
      </c>
      <c r="U327" s="1">
        <f t="shared" si="29"/>
        <v>6857.28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0</v>
      </c>
      <c r="Q328" s="1">
        <f t="shared" si="26"/>
        <v>23802.6</v>
      </c>
      <c r="R328" s="1" t="str">
        <f t="shared" si="27"/>
        <v>high</v>
      </c>
      <c r="S328" s="1" t="str" cm="1">
        <f t="array" ref="S328">_xlfn.IFS(L328&gt;5,"high",L328=5,"medium",L328&lt;5,"low")</f>
        <v>high</v>
      </c>
      <c r="T328" s="10" t="str">
        <f t="shared" si="28"/>
        <v>high</v>
      </c>
      <c r="U328" s="1">
        <f t="shared" si="29"/>
        <v>23802.6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751.82399999999996</v>
      </c>
      <c r="Q329" s="1">
        <f t="shared" si="26"/>
        <v>4260.3360000000002</v>
      </c>
      <c r="R329" s="1" t="str">
        <f t="shared" si="27"/>
        <v>low</v>
      </c>
      <c r="S329" s="1" t="str" cm="1">
        <f t="array" ref="S329">_xlfn.IFS(L329&gt;5,"high",L329=5,"medium",L329&lt;5,"low")</f>
        <v>low</v>
      </c>
      <c r="T329" s="10" t="str">
        <f t="shared" si="28"/>
        <v>low</v>
      </c>
      <c r="U329" s="1">
        <f t="shared" si="29"/>
        <v>5896.66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507.41800000000006</v>
      </c>
      <c r="Q330" s="1">
        <f t="shared" si="26"/>
        <v>2029.672</v>
      </c>
      <c r="R330" s="1" t="str">
        <f t="shared" si="27"/>
        <v>low</v>
      </c>
      <c r="S330" s="1" t="str" cm="1">
        <f t="array" ref="S330">_xlfn.IFS(L330&gt;5,"high",L330=5,"medium",L330&lt;5,"low")</f>
        <v>low</v>
      </c>
      <c r="T330" s="10" t="str">
        <f t="shared" si="28"/>
        <v>low</v>
      </c>
      <c r="U330" s="1">
        <f t="shared" si="29"/>
        <v>3171.36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4455.92</v>
      </c>
      <c r="Q331" s="1">
        <f t="shared" si="26"/>
        <v>17823.68</v>
      </c>
      <c r="R331" s="1" t="str">
        <f t="shared" si="27"/>
        <v>high</v>
      </c>
      <c r="S331" s="1" t="str" cm="1">
        <f t="array" ref="S331">_xlfn.IFS(L331&gt;5,"high",L331=5,"medium",L331&lt;5,"low")</f>
        <v>high</v>
      </c>
      <c r="T331" s="10" t="str">
        <f t="shared" si="28"/>
        <v>high</v>
      </c>
      <c r="U331" s="1">
        <f t="shared" si="29"/>
        <v>27849.5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632.68049999999994</v>
      </c>
      <c r="Q332" s="1">
        <f t="shared" si="26"/>
        <v>3585.1895</v>
      </c>
      <c r="R332" s="1" t="str">
        <f t="shared" si="27"/>
        <v>low</v>
      </c>
      <c r="S332" s="1" t="str" cm="1">
        <f t="array" ref="S332">_xlfn.IFS(L332&gt;5,"high",L332=5,"medium",L332&lt;5,"low")</f>
        <v>low</v>
      </c>
      <c r="T332" s="10" t="str">
        <f t="shared" si="28"/>
        <v>low</v>
      </c>
      <c r="U332" s="1">
        <f t="shared" si="29"/>
        <v>4962.2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126.85899999999999</v>
      </c>
      <c r="Q333" s="1">
        <f t="shared" si="26"/>
        <v>2410.3209999999999</v>
      </c>
      <c r="R333" s="1" t="str">
        <f t="shared" si="27"/>
        <v>low</v>
      </c>
      <c r="S333" s="1" t="str" cm="1">
        <f t="array" ref="S333">_xlfn.IFS(L333&gt;5,"high",L333=5,"medium",L333&lt;5,"low")</f>
        <v>low</v>
      </c>
      <c r="T333" s="10" t="str">
        <f t="shared" si="28"/>
        <v>low</v>
      </c>
      <c r="U333" s="1">
        <f t="shared" si="29"/>
        <v>2670.72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801.44150000000002</v>
      </c>
      <c r="Q334" s="1">
        <f t="shared" si="26"/>
        <v>15227.388499999999</v>
      </c>
      <c r="R334" s="1" t="str">
        <f t="shared" si="27"/>
        <v>high</v>
      </c>
      <c r="S334" s="1" t="str" cm="1">
        <f t="array" ref="S334">_xlfn.IFS(L334&gt;5,"high",L334=5,"medium",L334&lt;5,"low")</f>
        <v>medium</v>
      </c>
      <c r="T334" s="10" t="str">
        <f t="shared" si="28"/>
        <v>medium</v>
      </c>
      <c r="U334" s="1">
        <f t="shared" si="29"/>
        <v>16872.449999999997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2012.616</v>
      </c>
      <c r="Q335" s="1">
        <f t="shared" si="26"/>
        <v>8050.4639999999999</v>
      </c>
      <c r="R335" s="1" t="str">
        <f t="shared" si="27"/>
        <v>high</v>
      </c>
      <c r="S335" s="1" t="str" cm="1">
        <f t="array" ref="S335">_xlfn.IFS(L335&gt;5,"high",L335=5,"medium",L335&lt;5,"low")</f>
        <v>medium</v>
      </c>
      <c r="T335" s="10" t="str">
        <f t="shared" si="28"/>
        <v>medium</v>
      </c>
      <c r="U335" s="1">
        <f t="shared" si="29"/>
        <v>12578.85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2674.1120000000001</v>
      </c>
      <c r="Q336" s="1">
        <f t="shared" si="26"/>
        <v>10696.448</v>
      </c>
      <c r="R336" s="1" t="str">
        <f t="shared" si="27"/>
        <v>high</v>
      </c>
      <c r="S336" s="1" t="str" cm="1">
        <f t="array" ref="S336">_xlfn.IFS(L336&gt;5,"high",L336=5,"medium",L336&lt;5,"low")</f>
        <v>high</v>
      </c>
      <c r="T336" s="10" t="str">
        <f t="shared" si="28"/>
        <v>high</v>
      </c>
      <c r="U336" s="1">
        <f t="shared" si="29"/>
        <v>16713.2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143.62799999999999</v>
      </c>
      <c r="Q337" s="1">
        <f t="shared" si="26"/>
        <v>813.89200000000005</v>
      </c>
      <c r="R337" s="1" t="str">
        <f t="shared" si="27"/>
        <v>low</v>
      </c>
      <c r="S337" s="1" t="str" cm="1">
        <f t="array" ref="S337">_xlfn.IFS(L337&gt;5,"high",L337=5,"medium",L337&lt;5,"low")</f>
        <v>low</v>
      </c>
      <c r="T337" s="10" t="str">
        <f t="shared" si="28"/>
        <v>low</v>
      </c>
      <c r="U337" s="1">
        <f t="shared" si="29"/>
        <v>1126.5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1163.518</v>
      </c>
      <c r="Q338" s="1">
        <f t="shared" si="26"/>
        <v>22106.842000000001</v>
      </c>
      <c r="R338" s="1" t="str">
        <f t="shared" si="27"/>
        <v>high</v>
      </c>
      <c r="S338" s="1" t="str" cm="1">
        <f t="array" ref="S338">_xlfn.IFS(L338&gt;5,"high",L338=5,"medium",L338&lt;5,"low")</f>
        <v>high</v>
      </c>
      <c r="T338" s="10" t="str">
        <f t="shared" si="28"/>
        <v>high</v>
      </c>
      <c r="U338" s="1">
        <f t="shared" si="29"/>
        <v>24495.119999999999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222.922</v>
      </c>
      <c r="Q339" s="1">
        <f t="shared" si="26"/>
        <v>891.68799999999987</v>
      </c>
      <c r="R339" s="1" t="str">
        <f t="shared" si="27"/>
        <v>low</v>
      </c>
      <c r="S339" s="1" t="str" cm="1">
        <f t="array" ref="S339">_xlfn.IFS(L339&gt;5,"high",L339=5,"medium",L339&lt;5,"low")</f>
        <v>low</v>
      </c>
      <c r="T339" s="10" t="str">
        <f t="shared" si="28"/>
        <v>low</v>
      </c>
      <c r="U339" s="1">
        <f t="shared" si="29"/>
        <v>1393.26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704.61700000000008</v>
      </c>
      <c r="Q340" s="1">
        <f t="shared" si="26"/>
        <v>13387.723</v>
      </c>
      <c r="R340" s="1" t="str">
        <f t="shared" si="27"/>
        <v>low</v>
      </c>
      <c r="S340" s="1" t="str" cm="1">
        <f t="array" ref="S340">_xlfn.IFS(L340&gt;5,"high",L340=5,"medium",L340&lt;5,"low")</f>
        <v>low</v>
      </c>
      <c r="T340" s="10" t="str">
        <f t="shared" si="28"/>
        <v>low</v>
      </c>
      <c r="U340" s="1">
        <f t="shared" si="29"/>
        <v>14834.04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2022.364</v>
      </c>
      <c r="Q341" s="1">
        <f t="shared" si="26"/>
        <v>8089.4560000000001</v>
      </c>
      <c r="R341" s="1" t="str">
        <f t="shared" si="27"/>
        <v>high</v>
      </c>
      <c r="S341" s="1" t="str" cm="1">
        <f t="array" ref="S341">_xlfn.IFS(L341&gt;5,"high",L341=5,"medium",L341&lt;5,"low")</f>
        <v>high</v>
      </c>
      <c r="T341" s="10" t="str">
        <f t="shared" si="28"/>
        <v>high</v>
      </c>
      <c r="U341" s="1">
        <f t="shared" si="29"/>
        <v>12639.78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0</v>
      </c>
      <c r="Q342" s="1">
        <f t="shared" si="26"/>
        <v>2567.7199999999998</v>
      </c>
      <c r="R342" s="1" t="str">
        <f t="shared" si="27"/>
        <v>low</v>
      </c>
      <c r="S342" s="1" t="str" cm="1">
        <f t="array" ref="S342">_xlfn.IFS(L342&gt;5,"high",L342=5,"medium",L342&lt;5,"low")</f>
        <v>low</v>
      </c>
      <c r="T342" s="10" t="str">
        <f t="shared" si="28"/>
        <v>low</v>
      </c>
      <c r="U342" s="1">
        <f t="shared" si="29"/>
        <v>2567.7199999999998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833.899</v>
      </c>
      <c r="Q343" s="1">
        <f t="shared" si="26"/>
        <v>7505.0909999999994</v>
      </c>
      <c r="R343" s="1" t="str">
        <f t="shared" si="27"/>
        <v>high</v>
      </c>
      <c r="S343" s="1" t="str" cm="1">
        <f t="array" ref="S343">_xlfn.IFS(L343&gt;5,"high",L343=5,"medium",L343&lt;5,"low")</f>
        <v>medium</v>
      </c>
      <c r="T343" s="10" t="str">
        <f t="shared" si="28"/>
        <v>medium</v>
      </c>
      <c r="U343" s="1">
        <f t="shared" si="29"/>
        <v>9265.5499999999993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0</v>
      </c>
      <c r="Q344" s="1">
        <f t="shared" si="26"/>
        <v>2194.5700000000002</v>
      </c>
      <c r="R344" s="1" t="str">
        <f t="shared" si="27"/>
        <v>high</v>
      </c>
      <c r="S344" s="1" t="str" cm="1">
        <f t="array" ref="S344">_xlfn.IFS(L344&gt;5,"high",L344=5,"medium",L344&lt;5,"low")</f>
        <v>high</v>
      </c>
      <c r="T344" s="10" t="str">
        <f t="shared" si="28"/>
        <v>high</v>
      </c>
      <c r="U344" s="1">
        <f t="shared" si="29"/>
        <v>2194.5699999999997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1782.9180000000001</v>
      </c>
      <c r="Q345" s="1">
        <f t="shared" si="26"/>
        <v>7131.6720000000005</v>
      </c>
      <c r="R345" s="1" t="str">
        <f t="shared" si="27"/>
        <v>low</v>
      </c>
      <c r="S345" s="1" t="str" cm="1">
        <f t="array" ref="S345">_xlfn.IFS(L345&gt;5,"high",L345=5,"medium",L345&lt;5,"low")</f>
        <v>low</v>
      </c>
      <c r="T345" s="10" t="str">
        <f t="shared" si="28"/>
        <v>low</v>
      </c>
      <c r="U345" s="1">
        <f t="shared" si="29"/>
        <v>11143.24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326.28800000000001</v>
      </c>
      <c r="Q346" s="1">
        <f t="shared" si="26"/>
        <v>2936.5920000000001</v>
      </c>
      <c r="R346" s="1" t="str">
        <f t="shared" si="27"/>
        <v>low</v>
      </c>
      <c r="S346" s="1" t="str" cm="1">
        <f t="array" ref="S346">_xlfn.IFS(L346&gt;5,"high",L346=5,"medium",L346&lt;5,"low")</f>
        <v>low</v>
      </c>
      <c r="T346" s="10" t="str">
        <f t="shared" si="28"/>
        <v>low</v>
      </c>
      <c r="U346" s="1">
        <f t="shared" si="29"/>
        <v>3625.42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2732.5030000000002</v>
      </c>
      <c r="Q347" s="1">
        <f t="shared" si="26"/>
        <v>24592.526999999998</v>
      </c>
      <c r="R347" s="1" t="str">
        <f t="shared" si="27"/>
        <v>high</v>
      </c>
      <c r="S347" s="1" t="str" cm="1">
        <f t="array" ref="S347">_xlfn.IFS(L347&gt;5,"high",L347=5,"medium",L347&lt;5,"low")</f>
        <v>high</v>
      </c>
      <c r="T347" s="10" t="str">
        <f t="shared" si="28"/>
        <v>high</v>
      </c>
      <c r="U347" s="1">
        <f t="shared" si="29"/>
        <v>30361.14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409.83600000000001</v>
      </c>
      <c r="Q348" s="1">
        <f t="shared" si="26"/>
        <v>1639.3439999999998</v>
      </c>
      <c r="R348" s="1" t="str">
        <f t="shared" si="27"/>
        <v>low</v>
      </c>
      <c r="S348" s="1" t="str" cm="1">
        <f t="array" ref="S348">_xlfn.IFS(L348&gt;5,"high",L348=5,"medium",L348&lt;5,"low")</f>
        <v>low</v>
      </c>
      <c r="T348" s="10" t="str">
        <f t="shared" si="28"/>
        <v>low</v>
      </c>
      <c r="U348" s="1">
        <f t="shared" si="29"/>
        <v>2561.48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916.04200000000003</v>
      </c>
      <c r="Q349" s="1">
        <f t="shared" si="26"/>
        <v>3664.1680000000001</v>
      </c>
      <c r="R349" s="1" t="str">
        <f t="shared" si="27"/>
        <v>high</v>
      </c>
      <c r="S349" s="1" t="str" cm="1">
        <f t="array" ref="S349">_xlfn.IFS(L349&gt;5,"high",L349=5,"medium",L349&lt;5,"low")</f>
        <v>high</v>
      </c>
      <c r="T349" s="10" t="str">
        <f t="shared" si="28"/>
        <v>high</v>
      </c>
      <c r="U349" s="1">
        <f t="shared" si="29"/>
        <v>5725.26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935.29</v>
      </c>
      <c r="Q350" s="1">
        <f t="shared" si="26"/>
        <v>17770.509999999998</v>
      </c>
      <c r="R350" s="1" t="str">
        <f t="shared" si="27"/>
        <v>high</v>
      </c>
      <c r="S350" s="1" t="str" cm="1">
        <f t="array" ref="S350">_xlfn.IFS(L350&gt;5,"high",L350=5,"medium",L350&lt;5,"low")</f>
        <v>high</v>
      </c>
      <c r="T350" s="10" t="str">
        <f t="shared" si="28"/>
        <v>high</v>
      </c>
      <c r="U350" s="1">
        <f t="shared" si="29"/>
        <v>19690.32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593.34</v>
      </c>
      <c r="Q351" s="1">
        <f t="shared" si="26"/>
        <v>2373.3599999999997</v>
      </c>
      <c r="R351" s="1" t="str">
        <f t="shared" si="27"/>
        <v>low</v>
      </c>
      <c r="S351" s="1" t="str" cm="1">
        <f t="array" ref="S351">_xlfn.IFS(L351&gt;5,"high",L351=5,"medium",L351&lt;5,"low")</f>
        <v>low</v>
      </c>
      <c r="T351" s="10" t="str">
        <f t="shared" si="28"/>
        <v>low</v>
      </c>
      <c r="U351" s="1">
        <f t="shared" si="29"/>
        <v>3708.38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735.76949999999999</v>
      </c>
      <c r="Q352" s="1">
        <f t="shared" si="26"/>
        <v>4169.3604999999998</v>
      </c>
      <c r="R352" s="1" t="str">
        <f t="shared" si="27"/>
        <v>low</v>
      </c>
      <c r="S352" s="1" t="str" cm="1">
        <f t="array" ref="S352">_xlfn.IFS(L352&gt;5,"high",L352=5,"medium",L352&lt;5,"low")</f>
        <v>low</v>
      </c>
      <c r="T352" s="10" t="str">
        <f t="shared" si="28"/>
        <v>low</v>
      </c>
      <c r="U352" s="1">
        <f t="shared" si="29"/>
        <v>5770.74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662.73199999999997</v>
      </c>
      <c r="Q353" s="1">
        <f t="shared" si="26"/>
        <v>2650.9279999999999</v>
      </c>
      <c r="R353" s="1" t="str">
        <f t="shared" si="27"/>
        <v>low</v>
      </c>
      <c r="S353" s="1" t="str" cm="1">
        <f t="array" ref="S353">_xlfn.IFS(L353&gt;5,"high",L353=5,"medium",L353&lt;5,"low")</f>
        <v>low</v>
      </c>
      <c r="T353" s="10" t="str">
        <f t="shared" si="28"/>
        <v>low</v>
      </c>
      <c r="U353" s="1">
        <f t="shared" si="29"/>
        <v>4142.08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1578.1680000000001</v>
      </c>
      <c r="Q354" s="1">
        <f t="shared" si="26"/>
        <v>8942.9520000000011</v>
      </c>
      <c r="R354" s="1" t="str">
        <f t="shared" si="27"/>
        <v>high</v>
      </c>
      <c r="S354" s="1" t="str" cm="1">
        <f t="array" ref="S354">_xlfn.IFS(L354&gt;5,"high",L354=5,"medium",L354&lt;5,"low")</f>
        <v>high</v>
      </c>
      <c r="T354" s="10" t="str">
        <f t="shared" si="28"/>
        <v>high</v>
      </c>
      <c r="U354" s="1">
        <f t="shared" si="29"/>
        <v>12377.789999999999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574.86800000000005</v>
      </c>
      <c r="Q355" s="1">
        <f t="shared" si="26"/>
        <v>2299.4720000000002</v>
      </c>
      <c r="R355" s="1" t="str">
        <f t="shared" si="27"/>
        <v>low</v>
      </c>
      <c r="S355" s="1" t="str" cm="1">
        <f t="array" ref="S355">_xlfn.IFS(L355&gt;5,"high",L355=5,"medium",L355&lt;5,"low")</f>
        <v>low</v>
      </c>
      <c r="T355" s="10" t="str">
        <f t="shared" si="28"/>
        <v>low</v>
      </c>
      <c r="U355" s="1">
        <f t="shared" si="29"/>
        <v>3592.92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1125.556</v>
      </c>
      <c r="Q356" s="1">
        <f t="shared" si="26"/>
        <v>21385.563999999998</v>
      </c>
      <c r="R356" s="1" t="str">
        <f t="shared" si="27"/>
        <v>high</v>
      </c>
      <c r="S356" s="1" t="str" cm="1">
        <f t="array" ref="S356">_xlfn.IFS(L356&gt;5,"high",L356=5,"medium",L356&lt;5,"low")</f>
        <v>high</v>
      </c>
      <c r="T356" s="10" t="str">
        <f t="shared" si="28"/>
        <v>high</v>
      </c>
      <c r="U356" s="1">
        <f t="shared" si="29"/>
        <v>23695.920000000002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1445.586</v>
      </c>
      <c r="Q357" s="1">
        <f t="shared" si="26"/>
        <v>8191.6539999999995</v>
      </c>
      <c r="R357" s="1" t="str">
        <f t="shared" si="27"/>
        <v>high</v>
      </c>
      <c r="S357" s="1" t="str" cm="1">
        <f t="array" ref="S357">_xlfn.IFS(L357&gt;5,"high",L357=5,"medium",L357&lt;5,"low")</f>
        <v>high</v>
      </c>
      <c r="T357" s="10" t="str">
        <f t="shared" si="28"/>
        <v>high</v>
      </c>
      <c r="U357" s="1">
        <f t="shared" si="29"/>
        <v>11337.93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0</v>
      </c>
      <c r="Q358" s="1">
        <f t="shared" si="26"/>
        <v>10402.48</v>
      </c>
      <c r="R358" s="1" t="str">
        <f t="shared" si="27"/>
        <v>high</v>
      </c>
      <c r="S358" s="1" t="str" cm="1">
        <f t="array" ref="S358">_xlfn.IFS(L358&gt;5,"high",L358=5,"medium",L358&lt;5,"low")</f>
        <v>high</v>
      </c>
      <c r="T358" s="10" t="str">
        <f t="shared" si="28"/>
        <v>high</v>
      </c>
      <c r="U358" s="1">
        <f t="shared" si="29"/>
        <v>10402.48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3652.7429999999999</v>
      </c>
      <c r="Q359" s="1">
        <f t="shared" si="26"/>
        <v>20698.877</v>
      </c>
      <c r="R359" s="1" t="str">
        <f t="shared" si="27"/>
        <v>high</v>
      </c>
      <c r="S359" s="1" t="str" cm="1">
        <f t="array" ref="S359">_xlfn.IFS(L359&gt;5,"high",L359=5,"medium",L359&lt;5,"low")</f>
        <v>high</v>
      </c>
      <c r="T359" s="10" t="str">
        <f t="shared" si="28"/>
        <v>high</v>
      </c>
      <c r="U359" s="1">
        <f t="shared" si="29"/>
        <v>28648.959999999999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9.6185000000000009</v>
      </c>
      <c r="Q360" s="1">
        <f t="shared" si="26"/>
        <v>182.75149999999999</v>
      </c>
      <c r="R360" s="1" t="str">
        <f t="shared" si="27"/>
        <v>low</v>
      </c>
      <c r="S360" s="1" t="str" cm="1">
        <f t="array" ref="S360">_xlfn.IFS(L360&gt;5,"high",L360=5,"medium",L360&lt;5,"low")</f>
        <v>low</v>
      </c>
      <c r="T360" s="10" t="str">
        <f t="shared" si="28"/>
        <v>low</v>
      </c>
      <c r="U360" s="1">
        <f t="shared" si="29"/>
        <v>202.49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1420.35</v>
      </c>
      <c r="Q361" s="1">
        <f t="shared" si="26"/>
        <v>8048.65</v>
      </c>
      <c r="R361" s="1" t="str">
        <f t="shared" si="27"/>
        <v>high</v>
      </c>
      <c r="S361" s="1" t="str" cm="1">
        <f t="array" ref="S361">_xlfn.IFS(L361&gt;5,"high",L361=5,"medium",L361&lt;5,"low")</f>
        <v>high</v>
      </c>
      <c r="T361" s="10" t="str">
        <f t="shared" si="28"/>
        <v>high</v>
      </c>
      <c r="U361" s="1">
        <f t="shared" si="29"/>
        <v>11140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1096.45</v>
      </c>
      <c r="Q362" s="1">
        <f t="shared" si="26"/>
        <v>4385.8</v>
      </c>
      <c r="R362" s="1" t="str">
        <f t="shared" si="27"/>
        <v>low</v>
      </c>
      <c r="S362" s="1" t="str" cm="1">
        <f t="array" ref="S362">_xlfn.IFS(L362&gt;5,"high",L362=5,"medium",L362&lt;5,"low")</f>
        <v>low</v>
      </c>
      <c r="T362" s="10" t="str">
        <f t="shared" si="28"/>
        <v>low</v>
      </c>
      <c r="U362" s="1">
        <f t="shared" si="29"/>
        <v>6852.8099999999995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807.11599999999999</v>
      </c>
      <c r="Q363" s="1">
        <f t="shared" si="26"/>
        <v>3228.4639999999999</v>
      </c>
      <c r="R363" s="1" t="str">
        <f t="shared" si="27"/>
        <v>high</v>
      </c>
      <c r="S363" s="1" t="str" cm="1">
        <f t="array" ref="S363">_xlfn.IFS(L363&gt;5,"high",L363=5,"medium",L363&lt;5,"low")</f>
        <v>high</v>
      </c>
      <c r="T363" s="10" t="str">
        <f t="shared" si="28"/>
        <v>high</v>
      </c>
      <c r="U363" s="1">
        <f t="shared" si="29"/>
        <v>5044.4799999999996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23.967500000000001</v>
      </c>
      <c r="Q364" s="1">
        <f t="shared" si="26"/>
        <v>455.38250000000005</v>
      </c>
      <c r="R364" s="1" t="str">
        <f t="shared" si="27"/>
        <v>low</v>
      </c>
      <c r="S364" s="1" t="str" cm="1">
        <f t="array" ref="S364">_xlfn.IFS(L364&gt;5,"high",L364=5,"medium",L364&lt;5,"low")</f>
        <v>low</v>
      </c>
      <c r="T364" s="10" t="str">
        <f t="shared" si="28"/>
        <v>low</v>
      </c>
      <c r="U364" s="1">
        <f t="shared" si="29"/>
        <v>504.58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295.99299999999999</v>
      </c>
      <c r="Q365" s="1">
        <f t="shared" si="26"/>
        <v>2663.9369999999999</v>
      </c>
      <c r="R365" s="1" t="str">
        <f t="shared" si="27"/>
        <v>low</v>
      </c>
      <c r="S365" s="1" t="str" cm="1">
        <f t="array" ref="S365">_xlfn.IFS(L365&gt;5,"high",L365=5,"medium",L365&lt;5,"low")</f>
        <v>low</v>
      </c>
      <c r="T365" s="10" t="str">
        <f t="shared" si="28"/>
        <v>low</v>
      </c>
      <c r="U365" s="1">
        <f t="shared" si="29"/>
        <v>3288.81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2874.768</v>
      </c>
      <c r="Q366" s="1">
        <f t="shared" si="26"/>
        <v>11499.072</v>
      </c>
      <c r="R366" s="1" t="str">
        <f t="shared" si="27"/>
        <v>high</v>
      </c>
      <c r="S366" s="1" t="str" cm="1">
        <f t="array" ref="S366">_xlfn.IFS(L366&gt;5,"high",L366=5,"medium",L366&lt;5,"low")</f>
        <v>medium</v>
      </c>
      <c r="T366" s="10" t="str">
        <f t="shared" si="28"/>
        <v>medium</v>
      </c>
      <c r="U366" s="1">
        <f t="shared" si="29"/>
        <v>17967.3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0</v>
      </c>
      <c r="Q367" s="1">
        <f t="shared" si="26"/>
        <v>16604.400000000001</v>
      </c>
      <c r="R367" s="1" t="str">
        <f t="shared" si="27"/>
        <v>high</v>
      </c>
      <c r="S367" s="1" t="str" cm="1">
        <f t="array" ref="S367">_xlfn.IFS(L367&gt;5,"high",L367=5,"medium",L367&lt;5,"low")</f>
        <v>medium</v>
      </c>
      <c r="T367" s="10" t="str">
        <f t="shared" si="28"/>
        <v>medium</v>
      </c>
      <c r="U367" s="1">
        <f t="shared" si="29"/>
        <v>16604.400000000001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1371.9255000000001</v>
      </c>
      <c r="Q368" s="1">
        <f t="shared" si="26"/>
        <v>26066.584499999997</v>
      </c>
      <c r="R368" s="1" t="str">
        <f t="shared" si="27"/>
        <v>high</v>
      </c>
      <c r="S368" s="1" t="str" cm="1">
        <f t="array" ref="S368">_xlfn.IFS(L368&gt;5,"high",L368=5,"medium",L368&lt;5,"low")</f>
        <v>high</v>
      </c>
      <c r="T368" s="10" t="str">
        <f t="shared" si="28"/>
        <v>high</v>
      </c>
      <c r="U368" s="1">
        <f t="shared" si="29"/>
        <v>28882.639999999999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2034.4364999999998</v>
      </c>
      <c r="Q369" s="1">
        <f t="shared" si="26"/>
        <v>11528.4735</v>
      </c>
      <c r="R369" s="1" t="str">
        <f t="shared" si="27"/>
        <v>high</v>
      </c>
      <c r="S369" s="1" t="str" cm="1">
        <f t="array" ref="S369">_xlfn.IFS(L369&gt;5,"high",L369=5,"medium",L369&lt;5,"low")</f>
        <v>high</v>
      </c>
      <c r="T369" s="10" t="str">
        <f t="shared" si="28"/>
        <v>high</v>
      </c>
      <c r="U369" s="1">
        <f t="shared" si="29"/>
        <v>15956.36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3342.7334999999998</v>
      </c>
      <c r="Q370" s="1">
        <f t="shared" si="26"/>
        <v>18942.156500000001</v>
      </c>
      <c r="R370" s="1" t="str">
        <f t="shared" si="27"/>
        <v>high</v>
      </c>
      <c r="S370" s="1" t="str" cm="1">
        <f t="array" ref="S370">_xlfn.IFS(L370&gt;5,"high",L370=5,"medium",L370&lt;5,"low")</f>
        <v>high</v>
      </c>
      <c r="T370" s="10" t="str">
        <f t="shared" si="28"/>
        <v>high</v>
      </c>
      <c r="U370" s="1">
        <f t="shared" si="29"/>
        <v>26217.52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0</v>
      </c>
      <c r="Q371" s="1">
        <f t="shared" si="26"/>
        <v>9771.36</v>
      </c>
      <c r="R371" s="1" t="str">
        <f t="shared" si="27"/>
        <v>high</v>
      </c>
      <c r="S371" s="1" t="str" cm="1">
        <f t="array" ref="S371">_xlfn.IFS(L371&gt;5,"high",L371=5,"medium",L371&lt;5,"low")</f>
        <v>high</v>
      </c>
      <c r="T371" s="10" t="str">
        <f t="shared" si="28"/>
        <v>high</v>
      </c>
      <c r="U371" s="1">
        <f t="shared" si="29"/>
        <v>9771.36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2606.5240000000003</v>
      </c>
      <c r="Q372" s="1">
        <f t="shared" si="26"/>
        <v>10426.096000000001</v>
      </c>
      <c r="R372" s="1" t="str">
        <f t="shared" si="27"/>
        <v>high</v>
      </c>
      <c r="S372" s="1" t="str" cm="1">
        <f t="array" ref="S372">_xlfn.IFS(L372&gt;5,"high",L372=5,"medium",L372&lt;5,"low")</f>
        <v>high</v>
      </c>
      <c r="T372" s="10" t="str">
        <f t="shared" si="28"/>
        <v>high</v>
      </c>
      <c r="U372" s="1">
        <f t="shared" si="29"/>
        <v>16290.78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375.91700000000003</v>
      </c>
      <c r="Q373" s="1">
        <f t="shared" si="26"/>
        <v>7142.4229999999998</v>
      </c>
      <c r="R373" s="1" t="str">
        <f t="shared" si="27"/>
        <v>low</v>
      </c>
      <c r="S373" s="1" t="str" cm="1">
        <f t="array" ref="S373">_xlfn.IFS(L373&gt;5,"high",L373=5,"medium",L373&lt;5,"low")</f>
        <v>low</v>
      </c>
      <c r="T373" s="10" t="str">
        <f t="shared" si="28"/>
        <v>low</v>
      </c>
      <c r="U373" s="1">
        <f t="shared" si="29"/>
        <v>7914.04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0</v>
      </c>
      <c r="Q374" s="1">
        <f t="shared" si="26"/>
        <v>6114.3</v>
      </c>
      <c r="R374" s="1" t="str">
        <f t="shared" si="27"/>
        <v>high</v>
      </c>
      <c r="S374" s="1" t="str" cm="1">
        <f t="array" ref="S374">_xlfn.IFS(L374&gt;5,"high",L374=5,"medium",L374&lt;5,"low")</f>
        <v>high</v>
      </c>
      <c r="T374" s="10" t="str">
        <f t="shared" si="28"/>
        <v>high</v>
      </c>
      <c r="U374" s="1">
        <f t="shared" si="29"/>
        <v>6114.2999999999993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1320.8879999999999</v>
      </c>
      <c r="Q375" s="1">
        <f t="shared" si="26"/>
        <v>5283.5519999999997</v>
      </c>
      <c r="R375" s="1" t="str">
        <f t="shared" si="27"/>
        <v>high</v>
      </c>
      <c r="S375" s="1" t="str" cm="1">
        <f t="array" ref="S375">_xlfn.IFS(L375&gt;5,"high",L375=5,"medium",L375&lt;5,"low")</f>
        <v>medium</v>
      </c>
      <c r="T375" s="10" t="str">
        <f t="shared" si="28"/>
        <v>medium</v>
      </c>
      <c r="U375" s="1">
        <f t="shared" si="29"/>
        <v>8255.5499999999993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284.74050000000005</v>
      </c>
      <c r="Q376" s="1">
        <f t="shared" si="26"/>
        <v>5410.0695000000005</v>
      </c>
      <c r="R376" s="1" t="str">
        <f t="shared" si="27"/>
        <v>low</v>
      </c>
      <c r="S376" s="1" t="str" cm="1">
        <f t="array" ref="S376">_xlfn.IFS(L376&gt;5,"high",L376=5,"medium",L376&lt;5,"low")</f>
        <v>low</v>
      </c>
      <c r="T376" s="10" t="str">
        <f t="shared" si="28"/>
        <v>low</v>
      </c>
      <c r="U376" s="1">
        <f t="shared" si="29"/>
        <v>5994.54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521.24099999999999</v>
      </c>
      <c r="Q377" s="1">
        <f t="shared" si="26"/>
        <v>2953.6990000000001</v>
      </c>
      <c r="R377" s="1" t="str">
        <f t="shared" si="27"/>
        <v>high</v>
      </c>
      <c r="S377" s="1" t="str" cm="1">
        <f t="array" ref="S377">_xlfn.IFS(L377&gt;5,"high",L377=5,"medium",L377&lt;5,"low")</f>
        <v>high</v>
      </c>
      <c r="T377" s="10" t="str">
        <f t="shared" si="28"/>
        <v>high</v>
      </c>
      <c r="U377" s="1">
        <f t="shared" si="29"/>
        <v>4088.16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175.56</v>
      </c>
      <c r="Q378" s="1">
        <f t="shared" si="26"/>
        <v>3335.64</v>
      </c>
      <c r="R378" s="1" t="str">
        <f t="shared" si="27"/>
        <v>high</v>
      </c>
      <c r="S378" s="1" t="str" cm="1">
        <f t="array" ref="S378">_xlfn.IFS(L378&gt;5,"high",L378=5,"medium",L378&lt;5,"low")</f>
        <v>high</v>
      </c>
      <c r="T378" s="10" t="str">
        <f t="shared" si="28"/>
        <v>high</v>
      </c>
      <c r="U378" s="1">
        <f t="shared" si="29"/>
        <v>3696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2708.9880000000003</v>
      </c>
      <c r="Q379" s="1">
        <f t="shared" si="26"/>
        <v>24380.892</v>
      </c>
      <c r="R379" s="1" t="str">
        <f t="shared" si="27"/>
        <v>high</v>
      </c>
      <c r="S379" s="1" t="str" cm="1">
        <f t="array" ref="S379">_xlfn.IFS(L379&gt;5,"high",L379=5,"medium",L379&lt;5,"low")</f>
        <v>high</v>
      </c>
      <c r="T379" s="10" t="str">
        <f t="shared" si="28"/>
        <v>high</v>
      </c>
      <c r="U379" s="1">
        <f t="shared" si="29"/>
        <v>30099.87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185.75650000000002</v>
      </c>
      <c r="Q380" s="1">
        <f t="shared" si="26"/>
        <v>3529.3735000000001</v>
      </c>
      <c r="R380" s="1" t="str">
        <f t="shared" si="27"/>
        <v>low</v>
      </c>
      <c r="S380" s="1" t="str" cm="1">
        <f t="array" ref="S380">_xlfn.IFS(L380&gt;5,"high",L380=5,"medium",L380&lt;5,"low")</f>
        <v>low</v>
      </c>
      <c r="T380" s="10" t="str">
        <f t="shared" si="28"/>
        <v>low</v>
      </c>
      <c r="U380" s="1">
        <f t="shared" si="29"/>
        <v>3910.66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461.21100000000001</v>
      </c>
      <c r="Q381" s="1">
        <f t="shared" si="26"/>
        <v>4150.8989999999994</v>
      </c>
      <c r="R381" s="1" t="str">
        <f t="shared" si="27"/>
        <v>low</v>
      </c>
      <c r="S381" s="1" t="str" cm="1">
        <f t="array" ref="S381">_xlfn.IFS(L381&gt;5,"high",L381=5,"medium",L381&lt;5,"low")</f>
        <v>low</v>
      </c>
      <c r="T381" s="10" t="str">
        <f t="shared" si="28"/>
        <v>low</v>
      </c>
      <c r="U381" s="1">
        <f t="shared" si="29"/>
        <v>5124.57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69.461500000000001</v>
      </c>
      <c r="Q382" s="1">
        <f t="shared" si="26"/>
        <v>1319.7685000000001</v>
      </c>
      <c r="R382" s="1" t="str">
        <f t="shared" si="27"/>
        <v>low</v>
      </c>
      <c r="S382" s="1" t="str" cm="1">
        <f t="array" ref="S382">_xlfn.IFS(L382&gt;5,"high",L382=5,"medium",L382&lt;5,"low")</f>
        <v>low</v>
      </c>
      <c r="T382" s="10" t="str">
        <f t="shared" si="28"/>
        <v>low</v>
      </c>
      <c r="U382" s="1">
        <f t="shared" si="29"/>
        <v>1462.35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290.43400000000003</v>
      </c>
      <c r="Q383" s="1">
        <f t="shared" si="26"/>
        <v>2613.9059999999999</v>
      </c>
      <c r="R383" s="1" t="str">
        <f t="shared" si="27"/>
        <v>high</v>
      </c>
      <c r="S383" s="1" t="str" cm="1">
        <f t="array" ref="S383">_xlfn.IFS(L383&gt;5,"high",L383=5,"medium",L383&lt;5,"low")</f>
        <v>high</v>
      </c>
      <c r="T383" s="10" t="str">
        <f t="shared" si="28"/>
        <v>high</v>
      </c>
      <c r="U383" s="1">
        <f t="shared" si="29"/>
        <v>3227.04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456.65100000000001</v>
      </c>
      <c r="Q384" s="1">
        <f t="shared" si="26"/>
        <v>2587.6890000000003</v>
      </c>
      <c r="R384" s="1" t="str">
        <f t="shared" si="27"/>
        <v>low</v>
      </c>
      <c r="S384" s="1" t="str" cm="1">
        <f t="array" ref="S384">_xlfn.IFS(L384&gt;5,"high",L384=5,"medium",L384&lt;5,"low")</f>
        <v>low</v>
      </c>
      <c r="T384" s="10" t="str">
        <f t="shared" si="28"/>
        <v>low</v>
      </c>
      <c r="U384" s="1">
        <f t="shared" si="29"/>
        <v>3581.58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1548.5440000000001</v>
      </c>
      <c r="Q385" s="1">
        <f t="shared" si="26"/>
        <v>6194.1760000000004</v>
      </c>
      <c r="R385" s="1" t="str">
        <f t="shared" si="27"/>
        <v>high</v>
      </c>
      <c r="S385" s="1" t="str" cm="1">
        <f t="array" ref="S385">_xlfn.IFS(L385&gt;5,"high",L385=5,"medium",L385&lt;5,"low")</f>
        <v>medium</v>
      </c>
      <c r="T385" s="10" t="str">
        <f t="shared" si="28"/>
        <v>medium</v>
      </c>
      <c r="U385" s="1">
        <f t="shared" si="29"/>
        <v>9678.4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373.17</v>
      </c>
      <c r="Q386" s="1">
        <f t="shared" si="26"/>
        <v>3358.5299999999997</v>
      </c>
      <c r="R386" s="1" t="str">
        <f t="shared" si="27"/>
        <v>low</v>
      </c>
      <c r="S386" s="1" t="str" cm="1">
        <f t="array" ref="S386">_xlfn.IFS(L386&gt;5,"high",L386=5,"medium",L386&lt;5,"low")</f>
        <v>low</v>
      </c>
      <c r="T386" s="10" t="str">
        <f t="shared" si="28"/>
        <v>low</v>
      </c>
      <c r="U386" s="1">
        <f t="shared" si="29"/>
        <v>4146.33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O387*N387%</f>
        <v>357.18800000000005</v>
      </c>
      <c r="Q387" s="1">
        <f t="shared" ref="Q387:Q450" si="31">O387-P387</f>
        <v>3214.692</v>
      </c>
      <c r="R387" s="1" t="str">
        <f t="shared" ref="R387:R450" si="32">IF(L387&gt;=5,"high","low")</f>
        <v>low</v>
      </c>
      <c r="S387" s="1" t="str" cm="1">
        <f t="array" ref="S387">_xlfn.IFS(L387&gt;5,"high",L387=5,"medium",L387&lt;5,"low")</f>
        <v>low</v>
      </c>
      <c r="T387" s="10" t="str">
        <f t="shared" ref="T387:T450" si="33">IF(L387&gt;5,"high",IF(L387=5,"medium","low"))</f>
        <v>low</v>
      </c>
      <c r="U387" s="1">
        <f t="shared" ref="U387:U450" si="34">L387*M387</f>
        <v>3968.76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1402.98</v>
      </c>
      <c r="Q388" s="1">
        <f t="shared" si="31"/>
        <v>7950.2200000000012</v>
      </c>
      <c r="R388" s="1" t="str">
        <f t="shared" si="32"/>
        <v>high</v>
      </c>
      <c r="S388" s="1" t="str" cm="1">
        <f t="array" ref="S388">_xlfn.IFS(L388&gt;5,"high",L388=5,"medium",L388&lt;5,"low")</f>
        <v>high</v>
      </c>
      <c r="T388" s="10" t="str">
        <f t="shared" si="33"/>
        <v>high</v>
      </c>
      <c r="U388" s="1">
        <f t="shared" si="34"/>
        <v>11003.76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548.85299999999995</v>
      </c>
      <c r="Q389" s="1">
        <f t="shared" si="31"/>
        <v>4939.6769999999997</v>
      </c>
      <c r="R389" s="1" t="str">
        <f t="shared" si="32"/>
        <v>low</v>
      </c>
      <c r="S389" s="1" t="str" cm="1">
        <f t="array" ref="S389">_xlfn.IFS(L389&gt;5,"high",L389=5,"medium",L389&lt;5,"low")</f>
        <v>low</v>
      </c>
      <c r="T389" s="10" t="str">
        <f t="shared" si="33"/>
        <v>low</v>
      </c>
      <c r="U389" s="1">
        <f t="shared" si="34"/>
        <v>6098.37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0</v>
      </c>
      <c r="Q390" s="1">
        <f t="shared" si="31"/>
        <v>24215.03</v>
      </c>
      <c r="R390" s="1" t="str">
        <f t="shared" si="32"/>
        <v>high</v>
      </c>
      <c r="S390" s="1" t="str" cm="1">
        <f t="array" ref="S390">_xlfn.IFS(L390&gt;5,"high",L390=5,"medium",L390&lt;5,"low")</f>
        <v>high</v>
      </c>
      <c r="T390" s="10" t="str">
        <f t="shared" si="33"/>
        <v>high</v>
      </c>
      <c r="U390" s="1">
        <f t="shared" si="34"/>
        <v>24215.03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309.87149999999997</v>
      </c>
      <c r="Q391" s="1">
        <f t="shared" si="31"/>
        <v>1755.9385</v>
      </c>
      <c r="R391" s="1" t="str">
        <f t="shared" si="32"/>
        <v>low</v>
      </c>
      <c r="S391" s="1" t="str" cm="1">
        <f t="array" ref="S391">_xlfn.IFS(L391&gt;5,"high",L391=5,"medium",L391&lt;5,"low")</f>
        <v>low</v>
      </c>
      <c r="T391" s="10" t="str">
        <f t="shared" si="33"/>
        <v>low</v>
      </c>
      <c r="U391" s="1">
        <f t="shared" si="34"/>
        <v>2430.36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0</v>
      </c>
      <c r="Q392" s="1">
        <f t="shared" si="31"/>
        <v>16946.52</v>
      </c>
      <c r="R392" s="1" t="str">
        <f t="shared" si="32"/>
        <v>high</v>
      </c>
      <c r="S392" s="1" t="str" cm="1">
        <f t="array" ref="S392">_xlfn.IFS(L392&gt;5,"high",L392=5,"medium",L392&lt;5,"low")</f>
        <v>high</v>
      </c>
      <c r="T392" s="10" t="str">
        <f t="shared" si="33"/>
        <v>high</v>
      </c>
      <c r="U392" s="1">
        <f t="shared" si="34"/>
        <v>16946.52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594.39750000000004</v>
      </c>
      <c r="Q393" s="1">
        <f t="shared" si="31"/>
        <v>3368.2525000000001</v>
      </c>
      <c r="R393" s="1" t="str">
        <f t="shared" si="32"/>
        <v>low</v>
      </c>
      <c r="S393" s="1" t="str" cm="1">
        <f t="array" ref="S393">_xlfn.IFS(L393&gt;5,"high",L393=5,"medium",L393&lt;5,"low")</f>
        <v>low</v>
      </c>
      <c r="T393" s="10" t="str">
        <f t="shared" si="33"/>
        <v>low</v>
      </c>
      <c r="U393" s="1">
        <f t="shared" si="34"/>
        <v>4661.9400000000005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2155.1400000000003</v>
      </c>
      <c r="Q394" s="1">
        <f t="shared" si="31"/>
        <v>19396.260000000002</v>
      </c>
      <c r="R394" s="1" t="str">
        <f t="shared" si="32"/>
        <v>high</v>
      </c>
      <c r="S394" s="1" t="str" cm="1">
        <f t="array" ref="S394">_xlfn.IFS(L394&gt;5,"high",L394=5,"medium",L394&lt;5,"low")</f>
        <v>high</v>
      </c>
      <c r="T394" s="10" t="str">
        <f t="shared" si="33"/>
        <v>high</v>
      </c>
      <c r="U394" s="1">
        <f t="shared" si="34"/>
        <v>23946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0</v>
      </c>
      <c r="Q395" s="1">
        <f t="shared" si="31"/>
        <v>16298.88</v>
      </c>
      <c r="R395" s="1" t="str">
        <f t="shared" si="32"/>
        <v>high</v>
      </c>
      <c r="S395" s="1" t="str" cm="1">
        <f t="array" ref="S395">_xlfn.IFS(L395&gt;5,"high",L395=5,"medium",L395&lt;5,"low")</f>
        <v>high</v>
      </c>
      <c r="T395" s="10" t="str">
        <f t="shared" si="33"/>
        <v>high</v>
      </c>
      <c r="U395" s="1">
        <f t="shared" si="34"/>
        <v>16298.880000000001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109.85599999999999</v>
      </c>
      <c r="Q396" s="1">
        <f t="shared" si="31"/>
        <v>988.70399999999995</v>
      </c>
      <c r="R396" s="1" t="str">
        <f t="shared" si="32"/>
        <v>low</v>
      </c>
      <c r="S396" s="1" t="str" cm="1">
        <f t="array" ref="S396">_xlfn.IFS(L396&gt;5,"high",L396=5,"medium",L396&lt;5,"low")</f>
        <v>low</v>
      </c>
      <c r="T396" s="10" t="str">
        <f t="shared" si="33"/>
        <v>low</v>
      </c>
      <c r="U396" s="1">
        <f t="shared" si="34"/>
        <v>1220.6199999999999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1801.3229999999999</v>
      </c>
      <c r="Q397" s="1">
        <f t="shared" si="31"/>
        <v>10207.496999999999</v>
      </c>
      <c r="R397" s="1" t="str">
        <f t="shared" si="32"/>
        <v>high</v>
      </c>
      <c r="S397" s="1" t="str" cm="1">
        <f t="array" ref="S397">_xlfn.IFS(L397&gt;5,"high",L397=5,"medium",L397&lt;5,"low")</f>
        <v>high</v>
      </c>
      <c r="T397" s="10" t="str">
        <f t="shared" si="33"/>
        <v>high</v>
      </c>
      <c r="U397" s="1">
        <f t="shared" si="34"/>
        <v>14128.02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717.23</v>
      </c>
      <c r="Q398" s="1">
        <f t="shared" si="31"/>
        <v>6455.07</v>
      </c>
      <c r="R398" s="1" t="str">
        <f t="shared" si="32"/>
        <v>high</v>
      </c>
      <c r="S398" s="1" t="str" cm="1">
        <f t="array" ref="S398">_xlfn.IFS(L398&gt;5,"high",L398=5,"medium",L398&lt;5,"low")</f>
        <v>high</v>
      </c>
      <c r="T398" s="10" t="str">
        <f t="shared" si="33"/>
        <v>high</v>
      </c>
      <c r="U398" s="1">
        <f t="shared" si="34"/>
        <v>7969.22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0</v>
      </c>
      <c r="Q399" s="1">
        <f t="shared" si="31"/>
        <v>16228.85</v>
      </c>
      <c r="R399" s="1" t="str">
        <f t="shared" si="32"/>
        <v>high</v>
      </c>
      <c r="S399" s="1" t="str" cm="1">
        <f t="array" ref="S399">_xlfn.IFS(L399&gt;5,"high",L399=5,"medium",L399&lt;5,"low")</f>
        <v>medium</v>
      </c>
      <c r="T399" s="10" t="str">
        <f t="shared" si="33"/>
        <v>medium</v>
      </c>
      <c r="U399" s="1">
        <f t="shared" si="34"/>
        <v>16228.85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0</v>
      </c>
      <c r="Q400" s="1">
        <f t="shared" si="31"/>
        <v>5369.58</v>
      </c>
      <c r="R400" s="1" t="str">
        <f t="shared" si="32"/>
        <v>low</v>
      </c>
      <c r="S400" s="1" t="str" cm="1">
        <f t="array" ref="S400">_xlfn.IFS(L400&gt;5,"high",L400=5,"medium",L400&lt;5,"low")</f>
        <v>low</v>
      </c>
      <c r="T400" s="10" t="str">
        <f t="shared" si="33"/>
        <v>low</v>
      </c>
      <c r="U400" s="1">
        <f t="shared" si="34"/>
        <v>5369.58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1432.6310000000001</v>
      </c>
      <c r="Q401" s="1">
        <f t="shared" si="31"/>
        <v>12893.679</v>
      </c>
      <c r="R401" s="1" t="str">
        <f t="shared" si="32"/>
        <v>low</v>
      </c>
      <c r="S401" s="1" t="str" cm="1">
        <f t="array" ref="S401">_xlfn.IFS(L401&gt;5,"high",L401=5,"medium",L401&lt;5,"low")</f>
        <v>low</v>
      </c>
      <c r="T401" s="10" t="str">
        <f t="shared" si="33"/>
        <v>low</v>
      </c>
      <c r="U401" s="1">
        <f t="shared" si="34"/>
        <v>15918.12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96.164500000000004</v>
      </c>
      <c r="Q402" s="1">
        <f t="shared" si="31"/>
        <v>1827.1254999999999</v>
      </c>
      <c r="R402" s="1" t="str">
        <f t="shared" si="32"/>
        <v>low</v>
      </c>
      <c r="S402" s="1" t="str" cm="1">
        <f t="array" ref="S402">_xlfn.IFS(L402&gt;5,"high",L402=5,"medium",L402&lt;5,"low")</f>
        <v>low</v>
      </c>
      <c r="T402" s="10" t="str">
        <f t="shared" si="33"/>
        <v>low</v>
      </c>
      <c r="U402" s="1">
        <f t="shared" si="34"/>
        <v>2024.52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2413.0694999999996</v>
      </c>
      <c r="Q403" s="1">
        <f t="shared" si="31"/>
        <v>13674.0605</v>
      </c>
      <c r="R403" s="1" t="str">
        <f t="shared" si="32"/>
        <v>high</v>
      </c>
      <c r="S403" s="1" t="str" cm="1">
        <f t="array" ref="S403">_xlfn.IFS(L403&gt;5,"high",L403=5,"medium",L403&lt;5,"low")</f>
        <v>high</v>
      </c>
      <c r="T403" s="10" t="str">
        <f t="shared" si="33"/>
        <v>high</v>
      </c>
      <c r="U403" s="1">
        <f t="shared" si="34"/>
        <v>18926.04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349.82850000000002</v>
      </c>
      <c r="Q404" s="1">
        <f t="shared" si="31"/>
        <v>1982.3615</v>
      </c>
      <c r="R404" s="1" t="str">
        <f t="shared" si="32"/>
        <v>low</v>
      </c>
      <c r="S404" s="1" t="str" cm="1">
        <f t="array" ref="S404">_xlfn.IFS(L404&gt;5,"high",L404=5,"medium",L404&lt;5,"low")</f>
        <v>low</v>
      </c>
      <c r="T404" s="10" t="str">
        <f t="shared" si="33"/>
        <v>low</v>
      </c>
      <c r="U404" s="1">
        <f t="shared" si="34"/>
        <v>2743.75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1117.7530000000002</v>
      </c>
      <c r="Q405" s="1">
        <f t="shared" si="31"/>
        <v>10059.777</v>
      </c>
      <c r="R405" s="1" t="str">
        <f t="shared" si="32"/>
        <v>low</v>
      </c>
      <c r="S405" s="1" t="str" cm="1">
        <f t="array" ref="S405">_xlfn.IFS(L405&gt;5,"high",L405=5,"medium",L405&lt;5,"low")</f>
        <v>low</v>
      </c>
      <c r="T405" s="10" t="str">
        <f t="shared" si="33"/>
        <v>low</v>
      </c>
      <c r="U405" s="1">
        <f t="shared" si="34"/>
        <v>12419.48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253.458</v>
      </c>
      <c r="Q406" s="1">
        <f t="shared" si="31"/>
        <v>4815.7020000000002</v>
      </c>
      <c r="R406" s="1" t="str">
        <f t="shared" si="32"/>
        <v>low</v>
      </c>
      <c r="S406" s="1" t="str" cm="1">
        <f t="array" ref="S406">_xlfn.IFS(L406&gt;5,"high",L406=5,"medium",L406&lt;5,"low")</f>
        <v>low</v>
      </c>
      <c r="T406" s="10" t="str">
        <f t="shared" si="33"/>
        <v>low</v>
      </c>
      <c r="U406" s="1">
        <f t="shared" si="34"/>
        <v>5335.96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0</v>
      </c>
      <c r="Q407" s="1">
        <f t="shared" si="31"/>
        <v>2044.41</v>
      </c>
      <c r="R407" s="1" t="str">
        <f t="shared" si="32"/>
        <v>low</v>
      </c>
      <c r="S407" s="1" t="str" cm="1">
        <f t="array" ref="S407">_xlfn.IFS(L407&gt;5,"high",L407=5,"medium",L407&lt;5,"low")</f>
        <v>low</v>
      </c>
      <c r="T407" s="10" t="str">
        <f t="shared" si="33"/>
        <v>low</v>
      </c>
      <c r="U407" s="1">
        <f t="shared" si="34"/>
        <v>2044.41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4631.8460000000005</v>
      </c>
      <c r="Q408" s="1">
        <f t="shared" si="31"/>
        <v>18527.383999999998</v>
      </c>
      <c r="R408" s="1" t="str">
        <f t="shared" si="32"/>
        <v>high</v>
      </c>
      <c r="S408" s="1" t="str" cm="1">
        <f t="array" ref="S408">_xlfn.IFS(L408&gt;5,"high",L408=5,"medium",L408&lt;5,"low")</f>
        <v>high</v>
      </c>
      <c r="T408" s="10" t="str">
        <f t="shared" si="33"/>
        <v>high</v>
      </c>
      <c r="U408" s="1">
        <f t="shared" si="34"/>
        <v>28949.040000000001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668.98</v>
      </c>
      <c r="Q409" s="1">
        <f t="shared" si="31"/>
        <v>2675.92</v>
      </c>
      <c r="R409" s="1" t="str">
        <f t="shared" si="32"/>
        <v>low</v>
      </c>
      <c r="S409" s="1" t="str" cm="1">
        <f t="array" ref="S409">_xlfn.IFS(L409&gt;5,"high",L409=5,"medium",L409&lt;5,"low")</f>
        <v>low</v>
      </c>
      <c r="T409" s="10" t="str">
        <f t="shared" si="33"/>
        <v>low</v>
      </c>
      <c r="U409" s="1">
        <f t="shared" si="34"/>
        <v>4181.12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642.745</v>
      </c>
      <c r="Q410" s="1">
        <f t="shared" si="31"/>
        <v>5784.7049999999999</v>
      </c>
      <c r="R410" s="1" t="str">
        <f t="shared" si="32"/>
        <v>high</v>
      </c>
      <c r="S410" s="1" t="str" cm="1">
        <f t="array" ref="S410">_xlfn.IFS(L410&gt;5,"high",L410=5,"medium",L410&lt;5,"low")</f>
        <v>high</v>
      </c>
      <c r="T410" s="10" t="str">
        <f t="shared" si="33"/>
        <v>high</v>
      </c>
      <c r="U410" s="1">
        <f t="shared" si="34"/>
        <v>7141.6100000000006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323.69600000000003</v>
      </c>
      <c r="Q411" s="1">
        <f t="shared" si="31"/>
        <v>6150.2240000000002</v>
      </c>
      <c r="R411" s="1" t="str">
        <f t="shared" si="32"/>
        <v>low</v>
      </c>
      <c r="S411" s="1" t="str" cm="1">
        <f t="array" ref="S411">_xlfn.IFS(L411&gt;5,"high",L411=5,"medium",L411&lt;5,"low")</f>
        <v>low</v>
      </c>
      <c r="T411" s="10" t="str">
        <f t="shared" si="33"/>
        <v>low</v>
      </c>
      <c r="U411" s="1">
        <f t="shared" si="34"/>
        <v>6814.6500000000005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308.61500000000001</v>
      </c>
      <c r="Q412" s="1">
        <f t="shared" si="31"/>
        <v>5863.6850000000004</v>
      </c>
      <c r="R412" s="1" t="str">
        <f t="shared" si="32"/>
        <v>low</v>
      </c>
      <c r="S412" s="1" t="str" cm="1">
        <f t="array" ref="S412">_xlfn.IFS(L412&gt;5,"high",L412=5,"medium",L412&lt;5,"low")</f>
        <v>low</v>
      </c>
      <c r="T412" s="10" t="str">
        <f t="shared" si="33"/>
        <v>low</v>
      </c>
      <c r="U412" s="1">
        <f t="shared" si="34"/>
        <v>6497.16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1261.4444999999998</v>
      </c>
      <c r="Q413" s="1">
        <f t="shared" si="31"/>
        <v>7148.1854999999996</v>
      </c>
      <c r="R413" s="1" t="str">
        <f t="shared" si="32"/>
        <v>high</v>
      </c>
      <c r="S413" s="1" t="str" cm="1">
        <f t="array" ref="S413">_xlfn.IFS(L413&gt;5,"high",L413=5,"medium",L413&lt;5,"low")</f>
        <v>high</v>
      </c>
      <c r="T413" s="10" t="str">
        <f t="shared" si="33"/>
        <v>high</v>
      </c>
      <c r="U413" s="1">
        <f t="shared" si="34"/>
        <v>9893.68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0</v>
      </c>
      <c r="Q414" s="1">
        <f t="shared" si="31"/>
        <v>10380.719999999999</v>
      </c>
      <c r="R414" s="1" t="str">
        <f t="shared" si="32"/>
        <v>high</v>
      </c>
      <c r="S414" s="1" t="str" cm="1">
        <f t="array" ref="S414">_xlfn.IFS(L414&gt;5,"high",L414=5,"medium",L414&lt;5,"low")</f>
        <v>high</v>
      </c>
      <c r="T414" s="10" t="str">
        <f t="shared" si="33"/>
        <v>high</v>
      </c>
      <c r="U414" s="1">
        <f t="shared" si="34"/>
        <v>10380.719999999999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57.935500000000005</v>
      </c>
      <c r="Q415" s="1">
        <f t="shared" si="31"/>
        <v>1100.7745</v>
      </c>
      <c r="R415" s="1" t="str">
        <f t="shared" si="32"/>
        <v>low</v>
      </c>
      <c r="S415" s="1" t="str" cm="1">
        <f t="array" ref="S415">_xlfn.IFS(L415&gt;5,"high",L415=5,"medium",L415&lt;5,"low")</f>
        <v>low</v>
      </c>
      <c r="T415" s="10" t="str">
        <f t="shared" si="33"/>
        <v>low</v>
      </c>
      <c r="U415" s="1">
        <f t="shared" si="34"/>
        <v>1219.7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998.50200000000007</v>
      </c>
      <c r="Q416" s="1">
        <f t="shared" si="31"/>
        <v>3994.0080000000003</v>
      </c>
      <c r="R416" s="1" t="str">
        <f t="shared" si="32"/>
        <v>low</v>
      </c>
      <c r="S416" s="1" t="str" cm="1">
        <f t="array" ref="S416">_xlfn.IFS(L416&gt;5,"high",L416=5,"medium",L416&lt;5,"low")</f>
        <v>low</v>
      </c>
      <c r="T416" s="10" t="str">
        <f t="shared" si="33"/>
        <v>low</v>
      </c>
      <c r="U416" s="1">
        <f t="shared" si="34"/>
        <v>6240.64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0</v>
      </c>
      <c r="Q417" s="1">
        <f t="shared" si="31"/>
        <v>21278.560000000001</v>
      </c>
      <c r="R417" s="1" t="str">
        <f t="shared" si="32"/>
        <v>high</v>
      </c>
      <c r="S417" s="1" t="str" cm="1">
        <f t="array" ref="S417">_xlfn.IFS(L417&gt;5,"high",L417=5,"medium",L417&lt;5,"low")</f>
        <v>high</v>
      </c>
      <c r="T417" s="10" t="str">
        <f t="shared" si="33"/>
        <v>high</v>
      </c>
      <c r="U417" s="1">
        <f t="shared" si="34"/>
        <v>21278.560000000001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0</v>
      </c>
      <c r="Q418" s="1">
        <f t="shared" si="31"/>
        <v>3354.81</v>
      </c>
      <c r="R418" s="1" t="str">
        <f t="shared" si="32"/>
        <v>low</v>
      </c>
      <c r="S418" s="1" t="str" cm="1">
        <f t="array" ref="S418">_xlfn.IFS(L418&gt;5,"high",L418=5,"medium",L418&lt;5,"low")</f>
        <v>low</v>
      </c>
      <c r="T418" s="10" t="str">
        <f t="shared" si="33"/>
        <v>low</v>
      </c>
      <c r="U418" s="1">
        <f t="shared" si="34"/>
        <v>3354.81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2812.01</v>
      </c>
      <c r="Q419" s="1">
        <f t="shared" si="31"/>
        <v>25308.089999999997</v>
      </c>
      <c r="R419" s="1" t="str">
        <f t="shared" si="32"/>
        <v>high</v>
      </c>
      <c r="S419" s="1" t="str" cm="1">
        <f t="array" ref="S419">_xlfn.IFS(L419&gt;5,"high",L419=5,"medium",L419&lt;5,"low")</f>
        <v>high</v>
      </c>
      <c r="T419" s="10" t="str">
        <f t="shared" si="33"/>
        <v>high</v>
      </c>
      <c r="U419" s="1">
        <f t="shared" si="34"/>
        <v>31244.560000000001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750.70150000000012</v>
      </c>
      <c r="Q420" s="1">
        <f t="shared" si="31"/>
        <v>14263.3285</v>
      </c>
      <c r="R420" s="1" t="str">
        <f t="shared" si="32"/>
        <v>high</v>
      </c>
      <c r="S420" s="1" t="str" cm="1">
        <f t="array" ref="S420">_xlfn.IFS(L420&gt;5,"high",L420=5,"medium",L420&lt;5,"low")</f>
        <v>high</v>
      </c>
      <c r="T420" s="10" t="str">
        <f t="shared" si="33"/>
        <v>high</v>
      </c>
      <c r="U420" s="1">
        <f t="shared" si="34"/>
        <v>15804.24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73.219000000000008</v>
      </c>
      <c r="Q421" s="1">
        <f t="shared" si="31"/>
        <v>658.971</v>
      </c>
      <c r="R421" s="1" t="str">
        <f t="shared" si="32"/>
        <v>low</v>
      </c>
      <c r="S421" s="1" t="str" cm="1">
        <f t="array" ref="S421">_xlfn.IFS(L421&gt;5,"high",L421=5,"medium",L421&lt;5,"low")</f>
        <v>low</v>
      </c>
      <c r="T421" s="10" t="str">
        <f t="shared" si="33"/>
        <v>low</v>
      </c>
      <c r="U421" s="1">
        <f t="shared" si="34"/>
        <v>813.54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63.680499999999995</v>
      </c>
      <c r="Q422" s="1">
        <f t="shared" si="31"/>
        <v>1209.9295</v>
      </c>
      <c r="R422" s="1" t="str">
        <f t="shared" si="32"/>
        <v>low</v>
      </c>
      <c r="S422" s="1" t="str" cm="1">
        <f t="array" ref="S422">_xlfn.IFS(L422&gt;5,"high",L422=5,"medium",L422&lt;5,"low")</f>
        <v>low</v>
      </c>
      <c r="T422" s="10" t="str">
        <f t="shared" si="33"/>
        <v>low</v>
      </c>
      <c r="U422" s="1">
        <f t="shared" si="34"/>
        <v>1340.64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985.55700000000002</v>
      </c>
      <c r="Q423" s="1">
        <f t="shared" si="31"/>
        <v>5584.8230000000003</v>
      </c>
      <c r="R423" s="1" t="str">
        <f t="shared" si="32"/>
        <v>high</v>
      </c>
      <c r="S423" s="1" t="str" cm="1">
        <f t="array" ref="S423">_xlfn.IFS(L423&gt;5,"high",L423=5,"medium",L423&lt;5,"low")</f>
        <v>high</v>
      </c>
      <c r="T423" s="10" t="str">
        <f t="shared" si="33"/>
        <v>high</v>
      </c>
      <c r="U423" s="1">
        <f t="shared" si="34"/>
        <v>7729.86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3029.643</v>
      </c>
      <c r="Q424" s="1">
        <f t="shared" si="31"/>
        <v>27266.787</v>
      </c>
      <c r="R424" s="1" t="str">
        <f t="shared" si="32"/>
        <v>high</v>
      </c>
      <c r="S424" s="1" t="str" cm="1">
        <f t="array" ref="S424">_xlfn.IFS(L424&gt;5,"high",L424=5,"medium",L424&lt;5,"low")</f>
        <v>high</v>
      </c>
      <c r="T424" s="10" t="str">
        <f t="shared" si="33"/>
        <v>high</v>
      </c>
      <c r="U424" s="1">
        <f t="shared" si="34"/>
        <v>33662.700000000004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1558.346</v>
      </c>
      <c r="Q425" s="1">
        <f t="shared" si="31"/>
        <v>14025.114</v>
      </c>
      <c r="R425" s="1" t="str">
        <f t="shared" si="32"/>
        <v>high</v>
      </c>
      <c r="S425" s="1" t="str" cm="1">
        <f t="array" ref="S425">_xlfn.IFS(L425&gt;5,"high",L425=5,"medium",L425&lt;5,"low")</f>
        <v>high</v>
      </c>
      <c r="T425" s="10" t="str">
        <f t="shared" si="33"/>
        <v>high</v>
      </c>
      <c r="U425" s="1">
        <f t="shared" si="34"/>
        <v>17314.96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1531.366</v>
      </c>
      <c r="Q426" s="1">
        <f t="shared" si="31"/>
        <v>6125.4639999999999</v>
      </c>
      <c r="R426" s="1" t="str">
        <f t="shared" si="32"/>
        <v>high</v>
      </c>
      <c r="S426" s="1" t="str" cm="1">
        <f t="array" ref="S426">_xlfn.IFS(L426&gt;5,"high",L426=5,"medium",L426&lt;5,"low")</f>
        <v>high</v>
      </c>
      <c r="T426" s="10" t="str">
        <f t="shared" si="33"/>
        <v>high</v>
      </c>
      <c r="U426" s="1">
        <f t="shared" si="34"/>
        <v>9571.0400000000009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1062.6780000000001</v>
      </c>
      <c r="Q427" s="1">
        <f t="shared" si="31"/>
        <v>9564.1020000000008</v>
      </c>
      <c r="R427" s="1" t="str">
        <f t="shared" si="32"/>
        <v>high</v>
      </c>
      <c r="S427" s="1" t="str" cm="1">
        <f t="array" ref="S427">_xlfn.IFS(L427&gt;5,"high",L427=5,"medium",L427&lt;5,"low")</f>
        <v>high</v>
      </c>
      <c r="T427" s="10" t="str">
        <f t="shared" si="33"/>
        <v>high</v>
      </c>
      <c r="U427" s="1">
        <f t="shared" si="34"/>
        <v>11807.529999999999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1049.3370000000002</v>
      </c>
      <c r="Q428" s="1">
        <f t="shared" si="31"/>
        <v>19937.403000000002</v>
      </c>
      <c r="R428" s="1" t="str">
        <f t="shared" si="32"/>
        <v>high</v>
      </c>
      <c r="S428" s="1" t="str" cm="1">
        <f t="array" ref="S428">_xlfn.IFS(L428&gt;5,"high",L428=5,"medium",L428&lt;5,"low")</f>
        <v>high</v>
      </c>
      <c r="T428" s="10" t="str">
        <f t="shared" si="33"/>
        <v>high</v>
      </c>
      <c r="U428" s="1">
        <f t="shared" si="34"/>
        <v>22091.31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852.43600000000015</v>
      </c>
      <c r="Q429" s="1">
        <f t="shared" si="31"/>
        <v>3409.7440000000001</v>
      </c>
      <c r="R429" s="1" t="str">
        <f t="shared" si="32"/>
        <v>low</v>
      </c>
      <c r="S429" s="1" t="str" cm="1">
        <f t="array" ref="S429">_xlfn.IFS(L429&gt;5,"high",L429=5,"medium",L429&lt;5,"low")</f>
        <v>low</v>
      </c>
      <c r="T429" s="10" t="str">
        <f t="shared" si="33"/>
        <v>low</v>
      </c>
      <c r="U429" s="1">
        <f t="shared" si="34"/>
        <v>5327.72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200.49900000000002</v>
      </c>
      <c r="Q430" s="1">
        <f t="shared" si="31"/>
        <v>1804.491</v>
      </c>
      <c r="R430" s="1" t="str">
        <f t="shared" si="32"/>
        <v>low</v>
      </c>
      <c r="S430" s="1" t="str" cm="1">
        <f t="array" ref="S430">_xlfn.IFS(L430&gt;5,"high",L430=5,"medium",L430&lt;5,"low")</f>
        <v>low</v>
      </c>
      <c r="T430" s="10" t="str">
        <f t="shared" si="33"/>
        <v>low</v>
      </c>
      <c r="U430" s="1">
        <f t="shared" si="34"/>
        <v>2227.77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2816.33</v>
      </c>
      <c r="Q431" s="1">
        <f t="shared" si="31"/>
        <v>25346.97</v>
      </c>
      <c r="R431" s="1" t="str">
        <f t="shared" si="32"/>
        <v>high</v>
      </c>
      <c r="S431" s="1" t="str" cm="1">
        <f t="array" ref="S431">_xlfn.IFS(L431&gt;5,"high",L431=5,"medium",L431&lt;5,"low")</f>
        <v>high</v>
      </c>
      <c r="T431" s="10" t="str">
        <f t="shared" si="33"/>
        <v>high</v>
      </c>
      <c r="U431" s="1">
        <f t="shared" si="34"/>
        <v>31292.560000000001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1719.2384999999999</v>
      </c>
      <c r="Q432" s="1">
        <f t="shared" si="31"/>
        <v>9742.3515000000007</v>
      </c>
      <c r="R432" s="1" t="str">
        <f t="shared" si="32"/>
        <v>high</v>
      </c>
      <c r="S432" s="1" t="str" cm="1">
        <f t="array" ref="S432">_xlfn.IFS(L432&gt;5,"high",L432=5,"medium",L432&lt;5,"low")</f>
        <v>high</v>
      </c>
      <c r="T432" s="10" t="str">
        <f t="shared" si="33"/>
        <v>high</v>
      </c>
      <c r="U432" s="1">
        <f t="shared" si="34"/>
        <v>13484.22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544.64400000000001</v>
      </c>
      <c r="Q433" s="1">
        <f t="shared" si="31"/>
        <v>4901.7959999999994</v>
      </c>
      <c r="R433" s="1" t="str">
        <f t="shared" si="32"/>
        <v>high</v>
      </c>
      <c r="S433" s="1" t="str" cm="1">
        <f t="array" ref="S433">_xlfn.IFS(L433&gt;5,"high",L433=5,"medium",L433&lt;5,"low")</f>
        <v>high</v>
      </c>
      <c r="T433" s="10" t="str">
        <f t="shared" si="33"/>
        <v>high</v>
      </c>
      <c r="U433" s="1">
        <f t="shared" si="34"/>
        <v>6051.5999999999995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0</v>
      </c>
      <c r="Q434" s="1">
        <f t="shared" si="31"/>
        <v>14362</v>
      </c>
      <c r="R434" s="1" t="str">
        <f t="shared" si="32"/>
        <v>low</v>
      </c>
      <c r="S434" s="1" t="str" cm="1">
        <f t="array" ref="S434">_xlfn.IFS(L434&gt;5,"high",L434=5,"medium",L434&lt;5,"low")</f>
        <v>low</v>
      </c>
      <c r="T434" s="10" t="str">
        <f t="shared" si="33"/>
        <v>low</v>
      </c>
      <c r="U434" s="1">
        <f t="shared" si="34"/>
        <v>14362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559.82000000000005</v>
      </c>
      <c r="Q435" s="1">
        <f t="shared" si="31"/>
        <v>2239.2799999999997</v>
      </c>
      <c r="R435" s="1" t="str">
        <f t="shared" si="32"/>
        <v>high</v>
      </c>
      <c r="S435" s="1" t="str" cm="1">
        <f t="array" ref="S435">_xlfn.IFS(L435&gt;5,"high",L435=5,"medium",L435&lt;5,"low")</f>
        <v>high</v>
      </c>
      <c r="T435" s="10" t="str">
        <f t="shared" si="33"/>
        <v>high</v>
      </c>
      <c r="U435" s="1">
        <f t="shared" si="34"/>
        <v>3498.88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0</v>
      </c>
      <c r="Q436" s="1">
        <f t="shared" si="31"/>
        <v>10934.34</v>
      </c>
      <c r="R436" s="1" t="str">
        <f t="shared" si="32"/>
        <v>low</v>
      </c>
      <c r="S436" s="1" t="str" cm="1">
        <f t="array" ref="S436">_xlfn.IFS(L436&gt;5,"high",L436=5,"medium",L436&lt;5,"low")</f>
        <v>low</v>
      </c>
      <c r="T436" s="10" t="str">
        <f t="shared" si="33"/>
        <v>low</v>
      </c>
      <c r="U436" s="1">
        <f t="shared" si="34"/>
        <v>10934.34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1913.6540000000002</v>
      </c>
      <c r="Q437" s="1">
        <f t="shared" si="31"/>
        <v>7654.616</v>
      </c>
      <c r="R437" s="1" t="str">
        <f t="shared" si="32"/>
        <v>low</v>
      </c>
      <c r="S437" s="1" t="str" cm="1">
        <f t="array" ref="S437">_xlfn.IFS(L437&gt;5,"high",L437=5,"medium",L437&lt;5,"low")</f>
        <v>low</v>
      </c>
      <c r="T437" s="10" t="str">
        <f t="shared" si="33"/>
        <v>low</v>
      </c>
      <c r="U437" s="1">
        <f t="shared" si="34"/>
        <v>11960.34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2903.5934999999999</v>
      </c>
      <c r="Q438" s="1">
        <f t="shared" si="31"/>
        <v>16453.696500000002</v>
      </c>
      <c r="R438" s="1" t="str">
        <f t="shared" si="32"/>
        <v>high</v>
      </c>
      <c r="S438" s="1" t="str" cm="1">
        <f t="array" ref="S438">_xlfn.IFS(L438&gt;5,"high",L438=5,"medium",L438&lt;5,"low")</f>
        <v>high</v>
      </c>
      <c r="T438" s="10" t="str">
        <f t="shared" si="33"/>
        <v>high</v>
      </c>
      <c r="U438" s="1">
        <f t="shared" si="34"/>
        <v>22773.279999999999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1402.299</v>
      </c>
      <c r="Q439" s="1">
        <f t="shared" si="31"/>
        <v>12620.690999999999</v>
      </c>
      <c r="R439" s="1" t="str">
        <f t="shared" si="32"/>
        <v>high</v>
      </c>
      <c r="S439" s="1" t="str" cm="1">
        <f t="array" ref="S439">_xlfn.IFS(L439&gt;5,"high",L439=5,"medium",L439&lt;5,"low")</f>
        <v>medium</v>
      </c>
      <c r="T439" s="10" t="str">
        <f t="shared" si="33"/>
        <v>medium</v>
      </c>
      <c r="U439" s="1">
        <f t="shared" si="34"/>
        <v>15581.099999999999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391.12700000000001</v>
      </c>
      <c r="Q440" s="1">
        <f t="shared" si="31"/>
        <v>3520.143</v>
      </c>
      <c r="R440" s="1" t="str">
        <f t="shared" si="32"/>
        <v>low</v>
      </c>
      <c r="S440" s="1" t="str" cm="1">
        <f t="array" ref="S440">_xlfn.IFS(L440&gt;5,"high",L440=5,"medium",L440&lt;5,"low")</f>
        <v>low</v>
      </c>
      <c r="T440" s="10" t="str">
        <f t="shared" si="33"/>
        <v>low</v>
      </c>
      <c r="U440" s="1">
        <f t="shared" si="34"/>
        <v>4345.8599999999997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339.75600000000003</v>
      </c>
      <c r="Q441" s="1">
        <f t="shared" si="31"/>
        <v>3057.8040000000001</v>
      </c>
      <c r="R441" s="1" t="str">
        <f t="shared" si="32"/>
        <v>low</v>
      </c>
      <c r="S441" s="1" t="str" cm="1">
        <f t="array" ref="S441">_xlfn.IFS(L441&gt;5,"high",L441=5,"medium",L441&lt;5,"low")</f>
        <v>low</v>
      </c>
      <c r="T441" s="10" t="str">
        <f t="shared" si="33"/>
        <v>low</v>
      </c>
      <c r="U441" s="1">
        <f t="shared" si="34"/>
        <v>3775.07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1050.912</v>
      </c>
      <c r="Q442" s="1">
        <f t="shared" si="31"/>
        <v>4203.6480000000001</v>
      </c>
      <c r="R442" s="1" t="str">
        <f t="shared" si="32"/>
        <v>low</v>
      </c>
      <c r="S442" s="1" t="str" cm="1">
        <f t="array" ref="S442">_xlfn.IFS(L442&gt;5,"high",L442=5,"medium",L442&lt;5,"low")</f>
        <v>low</v>
      </c>
      <c r="T442" s="10" t="str">
        <f t="shared" si="33"/>
        <v>low</v>
      </c>
      <c r="U442" s="1">
        <f t="shared" si="34"/>
        <v>6568.2000000000007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2405.4569999999999</v>
      </c>
      <c r="Q443" s="1">
        <f t="shared" si="31"/>
        <v>21649.113000000001</v>
      </c>
      <c r="R443" s="1" t="str">
        <f t="shared" si="32"/>
        <v>high</v>
      </c>
      <c r="S443" s="1" t="str" cm="1">
        <f t="array" ref="S443">_xlfn.IFS(L443&gt;5,"high",L443=5,"medium",L443&lt;5,"low")</f>
        <v>high</v>
      </c>
      <c r="T443" s="10" t="str">
        <f t="shared" si="33"/>
        <v>high</v>
      </c>
      <c r="U443" s="1">
        <f t="shared" si="34"/>
        <v>26727.3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0</v>
      </c>
      <c r="Q444" s="1">
        <f t="shared" si="31"/>
        <v>18539.05</v>
      </c>
      <c r="R444" s="1" t="str">
        <f t="shared" si="32"/>
        <v>high</v>
      </c>
      <c r="S444" s="1" t="str" cm="1">
        <f t="array" ref="S444">_xlfn.IFS(L444&gt;5,"high",L444=5,"medium",L444&lt;5,"low")</f>
        <v>medium</v>
      </c>
      <c r="T444" s="10" t="str">
        <f t="shared" si="33"/>
        <v>medium</v>
      </c>
      <c r="U444" s="1">
        <f t="shared" si="34"/>
        <v>18539.05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702.79899999999998</v>
      </c>
      <c r="Q445" s="1">
        <f t="shared" si="31"/>
        <v>6325.1909999999998</v>
      </c>
      <c r="R445" s="1" t="str">
        <f t="shared" si="32"/>
        <v>low</v>
      </c>
      <c r="S445" s="1" t="str" cm="1">
        <f t="array" ref="S445">_xlfn.IFS(L445&gt;5,"high",L445=5,"medium",L445&lt;5,"low")</f>
        <v>low</v>
      </c>
      <c r="T445" s="10" t="str">
        <f t="shared" si="33"/>
        <v>low</v>
      </c>
      <c r="U445" s="1">
        <f t="shared" si="34"/>
        <v>7808.88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2996.8724999999999</v>
      </c>
      <c r="Q446" s="1">
        <f t="shared" si="31"/>
        <v>16982.2775</v>
      </c>
      <c r="R446" s="1" t="str">
        <f t="shared" si="32"/>
        <v>high</v>
      </c>
      <c r="S446" s="1" t="str" cm="1">
        <f t="array" ref="S446">_xlfn.IFS(L446&gt;5,"high",L446=5,"medium",L446&lt;5,"low")</f>
        <v>high</v>
      </c>
      <c r="T446" s="10" t="str">
        <f t="shared" si="33"/>
        <v>high</v>
      </c>
      <c r="U446" s="1">
        <f t="shared" si="34"/>
        <v>23504.880000000001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0</v>
      </c>
      <c r="Q447" s="1">
        <f t="shared" si="31"/>
        <v>2633.24</v>
      </c>
      <c r="R447" s="1" t="str">
        <f t="shared" si="32"/>
        <v>low</v>
      </c>
      <c r="S447" s="1" t="str" cm="1">
        <f t="array" ref="S447">_xlfn.IFS(L447&gt;5,"high",L447=5,"medium",L447&lt;5,"low")</f>
        <v>low</v>
      </c>
      <c r="T447" s="10" t="str">
        <f t="shared" si="33"/>
        <v>low</v>
      </c>
      <c r="U447" s="1">
        <f t="shared" si="34"/>
        <v>2633.24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1393.6360000000002</v>
      </c>
      <c r="Q448" s="1">
        <f t="shared" si="31"/>
        <v>12542.724</v>
      </c>
      <c r="R448" s="1" t="str">
        <f t="shared" si="32"/>
        <v>low</v>
      </c>
      <c r="S448" s="1" t="str" cm="1">
        <f t="array" ref="S448">_xlfn.IFS(L448&gt;5,"high",L448=5,"medium",L448&lt;5,"low")</f>
        <v>low</v>
      </c>
      <c r="T448" s="10" t="str">
        <f t="shared" si="33"/>
        <v>low</v>
      </c>
      <c r="U448" s="1">
        <f t="shared" si="34"/>
        <v>15484.84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1618.0040000000001</v>
      </c>
      <c r="Q449" s="1">
        <f t="shared" si="31"/>
        <v>14562.036</v>
      </c>
      <c r="R449" s="1" t="str">
        <f t="shared" si="32"/>
        <v>high</v>
      </c>
      <c r="S449" s="1" t="str" cm="1">
        <f t="array" ref="S449">_xlfn.IFS(L449&gt;5,"high",L449=5,"medium",L449&lt;5,"low")</f>
        <v>high</v>
      </c>
      <c r="T449" s="10" t="str">
        <f t="shared" si="33"/>
        <v>high</v>
      </c>
      <c r="U449" s="1">
        <f t="shared" si="34"/>
        <v>17977.82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709.26450000000011</v>
      </c>
      <c r="Q450" s="1">
        <f t="shared" si="31"/>
        <v>13476.025500000002</v>
      </c>
      <c r="R450" s="1" t="str">
        <f t="shared" si="32"/>
        <v>low</v>
      </c>
      <c r="S450" s="1" t="str" cm="1">
        <f t="array" ref="S450">_xlfn.IFS(L450&gt;5,"high",L450=5,"medium",L450&lt;5,"low")</f>
        <v>low</v>
      </c>
      <c r="T450" s="10" t="str">
        <f t="shared" si="33"/>
        <v>low</v>
      </c>
      <c r="U450" s="1">
        <f t="shared" si="34"/>
        <v>14931.88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35">O451*N451%</f>
        <v>3083.36</v>
      </c>
      <c r="Q451" s="1">
        <f t="shared" ref="Q451:Q501" si="36">O451-P451</f>
        <v>12333.439999999999</v>
      </c>
      <c r="R451" s="1" t="str">
        <f t="shared" ref="R451:R501" si="37">IF(L451&gt;=5,"high","low")</f>
        <v>high</v>
      </c>
      <c r="S451" s="1" t="str" cm="1">
        <f t="array" ref="S451">_xlfn.IFS(L451&gt;5,"high",L451=5,"medium",L451&lt;5,"low")</f>
        <v>high</v>
      </c>
      <c r="T451" s="10" t="str">
        <f t="shared" ref="T451:T501" si="38">IF(L451&gt;5,"high",IF(L451=5,"medium","low"))</f>
        <v>high</v>
      </c>
      <c r="U451" s="1">
        <f t="shared" ref="U451:U501" si="39">L451*M451</f>
        <v>19271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0</v>
      </c>
      <c r="Q452" s="1">
        <f t="shared" si="36"/>
        <v>9330.09</v>
      </c>
      <c r="R452" s="1" t="str">
        <f t="shared" si="37"/>
        <v>high</v>
      </c>
      <c r="S452" s="1" t="str" cm="1">
        <f t="array" ref="S452">_xlfn.IFS(L452&gt;5,"high",L452=5,"medium",L452&lt;5,"low")</f>
        <v>high</v>
      </c>
      <c r="T452" s="10" t="str">
        <f t="shared" si="38"/>
        <v>high</v>
      </c>
      <c r="U452" s="1">
        <f t="shared" si="39"/>
        <v>9330.09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74.792999999999992</v>
      </c>
      <c r="Q453" s="1">
        <f t="shared" si="36"/>
        <v>1421.067</v>
      </c>
      <c r="R453" s="1" t="str">
        <f t="shared" si="37"/>
        <v>low</v>
      </c>
      <c r="S453" s="1" t="str" cm="1">
        <f t="array" ref="S453">_xlfn.IFS(L453&gt;5,"high",L453=5,"medium",L453&lt;5,"low")</f>
        <v>low</v>
      </c>
      <c r="T453" s="10" t="str">
        <f t="shared" si="38"/>
        <v>low</v>
      </c>
      <c r="U453" s="1">
        <f t="shared" si="39"/>
        <v>1574.59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1736.0295000000001</v>
      </c>
      <c r="Q454" s="1">
        <f t="shared" si="36"/>
        <v>9837.5005000000001</v>
      </c>
      <c r="R454" s="1" t="str">
        <f t="shared" si="37"/>
        <v>high</v>
      </c>
      <c r="S454" s="1" t="str" cm="1">
        <f t="array" ref="S454">_xlfn.IFS(L454&gt;5,"high",L454=5,"medium",L454&lt;5,"low")</f>
        <v>high</v>
      </c>
      <c r="T454" s="10" t="str">
        <f t="shared" si="38"/>
        <v>high</v>
      </c>
      <c r="U454" s="1">
        <f t="shared" si="39"/>
        <v>13615.920000000002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4595.8460000000005</v>
      </c>
      <c r="Q455" s="1">
        <f t="shared" si="36"/>
        <v>18383.383999999998</v>
      </c>
      <c r="R455" s="1" t="str">
        <f t="shared" si="37"/>
        <v>high</v>
      </c>
      <c r="S455" s="1" t="str" cm="1">
        <f t="array" ref="S455">_xlfn.IFS(L455&gt;5,"high",L455=5,"medium",L455&lt;5,"low")</f>
        <v>high</v>
      </c>
      <c r="T455" s="10" t="str">
        <f t="shared" si="38"/>
        <v>high</v>
      </c>
      <c r="U455" s="1">
        <f t="shared" si="39"/>
        <v>28724.04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0</v>
      </c>
      <c r="Q456" s="1">
        <f t="shared" si="36"/>
        <v>2748.46</v>
      </c>
      <c r="R456" s="1" t="str">
        <f t="shared" si="37"/>
        <v>low</v>
      </c>
      <c r="S456" s="1" t="str" cm="1">
        <f t="array" ref="S456">_xlfn.IFS(L456&gt;5,"high",L456=5,"medium",L456&lt;5,"low")</f>
        <v>low</v>
      </c>
      <c r="T456" s="10" t="str">
        <f t="shared" si="38"/>
        <v>low</v>
      </c>
      <c r="U456" s="1">
        <f t="shared" si="39"/>
        <v>2748.46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643.12900000000002</v>
      </c>
      <c r="Q457" s="1">
        <f t="shared" si="36"/>
        <v>5788.1610000000001</v>
      </c>
      <c r="R457" s="1" t="str">
        <f t="shared" si="37"/>
        <v>low</v>
      </c>
      <c r="S457" s="1" t="str" cm="1">
        <f t="array" ref="S457">_xlfn.IFS(L457&gt;5,"high",L457=5,"medium",L457&lt;5,"low")</f>
        <v>low</v>
      </c>
      <c r="T457" s="10" t="str">
        <f t="shared" si="38"/>
        <v>low</v>
      </c>
      <c r="U457" s="1">
        <f t="shared" si="39"/>
        <v>7145.88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0</v>
      </c>
      <c r="Q458" s="1">
        <f t="shared" si="36"/>
        <v>7403.3</v>
      </c>
      <c r="R458" s="1" t="str">
        <f t="shared" si="37"/>
        <v>high</v>
      </c>
      <c r="S458" s="1" t="str" cm="1">
        <f t="array" ref="S458">_xlfn.IFS(L458&gt;5,"high",L458=5,"medium",L458&lt;5,"low")</f>
        <v>medium</v>
      </c>
      <c r="T458" s="10" t="str">
        <f t="shared" si="38"/>
        <v>medium</v>
      </c>
      <c r="U458" s="1">
        <f t="shared" si="39"/>
        <v>7403.3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2665.4750000000004</v>
      </c>
      <c r="Q459" s="1">
        <f t="shared" si="36"/>
        <v>23989.275000000001</v>
      </c>
      <c r="R459" s="1" t="str">
        <f t="shared" si="37"/>
        <v>high</v>
      </c>
      <c r="S459" s="1" t="str" cm="1">
        <f t="array" ref="S459">_xlfn.IFS(L459&gt;5,"high",L459=5,"medium",L459&lt;5,"low")</f>
        <v>high</v>
      </c>
      <c r="T459" s="10" t="str">
        <f t="shared" si="38"/>
        <v>high</v>
      </c>
      <c r="U459" s="1">
        <f t="shared" si="39"/>
        <v>29616.39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1246.0160000000001</v>
      </c>
      <c r="Q460" s="1">
        <f t="shared" si="36"/>
        <v>4984.0640000000003</v>
      </c>
      <c r="R460" s="1" t="str">
        <f t="shared" si="37"/>
        <v>low</v>
      </c>
      <c r="S460" s="1" t="str" cm="1">
        <f t="array" ref="S460">_xlfn.IFS(L460&gt;5,"high",L460=5,"medium",L460&lt;5,"low")</f>
        <v>low</v>
      </c>
      <c r="T460" s="10" t="str">
        <f t="shared" si="38"/>
        <v>low</v>
      </c>
      <c r="U460" s="1">
        <f t="shared" si="39"/>
        <v>7787.6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40.084000000000003</v>
      </c>
      <c r="Q461" s="1">
        <f t="shared" si="36"/>
        <v>360.75599999999997</v>
      </c>
      <c r="R461" s="1" t="str">
        <f t="shared" si="37"/>
        <v>low</v>
      </c>
      <c r="S461" s="1" t="str" cm="1">
        <f t="array" ref="S461">_xlfn.IFS(L461&gt;5,"high",L461=5,"medium",L461&lt;5,"low")</f>
        <v>low</v>
      </c>
      <c r="T461" s="10" t="str">
        <f t="shared" si="38"/>
        <v>low</v>
      </c>
      <c r="U461" s="1">
        <f t="shared" si="39"/>
        <v>445.38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402.54299999999995</v>
      </c>
      <c r="Q462" s="1">
        <f t="shared" si="36"/>
        <v>2281.0769999999998</v>
      </c>
      <c r="R462" s="1" t="str">
        <f t="shared" si="37"/>
        <v>low</v>
      </c>
      <c r="S462" s="1" t="str" cm="1">
        <f t="array" ref="S462">_xlfn.IFS(L462&gt;5,"high",L462=5,"medium",L462&lt;5,"low")</f>
        <v>low</v>
      </c>
      <c r="T462" s="10" t="str">
        <f t="shared" si="38"/>
        <v>low</v>
      </c>
      <c r="U462" s="1">
        <f t="shared" si="39"/>
        <v>3157.2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208.035</v>
      </c>
      <c r="Q463" s="1">
        <f t="shared" si="36"/>
        <v>1872.3149999999998</v>
      </c>
      <c r="R463" s="1" t="str">
        <f t="shared" si="37"/>
        <v>high</v>
      </c>
      <c r="S463" s="1" t="str" cm="1">
        <f t="array" ref="S463">_xlfn.IFS(L463&gt;5,"high",L463=5,"medium",L463&lt;5,"low")</f>
        <v>high</v>
      </c>
      <c r="T463" s="10" t="str">
        <f t="shared" si="38"/>
        <v>high</v>
      </c>
      <c r="U463" s="1">
        <f t="shared" si="39"/>
        <v>2311.5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1321.104</v>
      </c>
      <c r="Q464" s="1">
        <f t="shared" si="36"/>
        <v>7486.2560000000003</v>
      </c>
      <c r="R464" s="1" t="str">
        <f t="shared" si="37"/>
        <v>high</v>
      </c>
      <c r="S464" s="1" t="str" cm="1">
        <f t="array" ref="S464">_xlfn.IFS(L464&gt;5,"high",L464=5,"medium",L464&lt;5,"low")</f>
        <v>medium</v>
      </c>
      <c r="T464" s="10" t="str">
        <f t="shared" si="38"/>
        <v>medium</v>
      </c>
      <c r="U464" s="1">
        <f t="shared" si="39"/>
        <v>10361.6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89.504000000000005</v>
      </c>
      <c r="Q465" s="1">
        <f t="shared" si="36"/>
        <v>358.01599999999996</v>
      </c>
      <c r="R465" s="1" t="str">
        <f t="shared" si="37"/>
        <v>low</v>
      </c>
      <c r="S465" s="1" t="str" cm="1">
        <f t="array" ref="S465">_xlfn.IFS(L465&gt;5,"high",L465=5,"medium",L465&lt;5,"low")</f>
        <v>low</v>
      </c>
      <c r="T465" s="10" t="str">
        <f t="shared" si="38"/>
        <v>low</v>
      </c>
      <c r="U465" s="1">
        <f t="shared" si="39"/>
        <v>559.4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377.24200000000002</v>
      </c>
      <c r="Q466" s="1">
        <f t="shared" si="36"/>
        <v>1508.9680000000001</v>
      </c>
      <c r="R466" s="1" t="str">
        <f t="shared" si="37"/>
        <v>low</v>
      </c>
      <c r="S466" s="1" t="str" cm="1">
        <f t="array" ref="S466">_xlfn.IFS(L466&gt;5,"high",L466=5,"medium",L466&lt;5,"low")</f>
        <v>low</v>
      </c>
      <c r="T466" s="10" t="str">
        <f t="shared" si="38"/>
        <v>low</v>
      </c>
      <c r="U466" s="1">
        <f t="shared" si="39"/>
        <v>2357.7600000000002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0</v>
      </c>
      <c r="Q467" s="1">
        <f t="shared" si="36"/>
        <v>22638.240000000002</v>
      </c>
      <c r="R467" s="1" t="str">
        <f t="shared" si="37"/>
        <v>high</v>
      </c>
      <c r="S467" s="1" t="str" cm="1">
        <f t="array" ref="S467">_xlfn.IFS(L467&gt;5,"high",L467=5,"medium",L467&lt;5,"low")</f>
        <v>high</v>
      </c>
      <c r="T467" s="10" t="str">
        <f t="shared" si="38"/>
        <v>high</v>
      </c>
      <c r="U467" s="1">
        <f t="shared" si="39"/>
        <v>22638.239999999998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1789.9574999999998</v>
      </c>
      <c r="Q468" s="1">
        <f t="shared" si="36"/>
        <v>10143.092499999999</v>
      </c>
      <c r="R468" s="1" t="str">
        <f t="shared" si="37"/>
        <v>low</v>
      </c>
      <c r="S468" s="1" t="str" cm="1">
        <f t="array" ref="S468">_xlfn.IFS(L468&gt;5,"high",L468=5,"medium",L468&lt;5,"low")</f>
        <v>low</v>
      </c>
      <c r="T468" s="10" t="str">
        <f t="shared" si="38"/>
        <v>low</v>
      </c>
      <c r="U468" s="1">
        <f t="shared" si="39"/>
        <v>14038.88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2169.3824999999997</v>
      </c>
      <c r="Q469" s="1">
        <f t="shared" si="36"/>
        <v>12293.1675</v>
      </c>
      <c r="R469" s="1" t="str">
        <f t="shared" si="37"/>
        <v>high</v>
      </c>
      <c r="S469" s="1" t="str" cm="1">
        <f t="array" ref="S469">_xlfn.IFS(L469&gt;5,"high",L469=5,"medium",L469&lt;5,"low")</f>
        <v>high</v>
      </c>
      <c r="T469" s="10" t="str">
        <f t="shared" si="38"/>
        <v>high</v>
      </c>
      <c r="U469" s="1">
        <f t="shared" si="39"/>
        <v>17014.77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937.02050000000008</v>
      </c>
      <c r="Q470" s="1">
        <f t="shared" si="36"/>
        <v>17803.389500000001</v>
      </c>
      <c r="R470" s="1" t="str">
        <f t="shared" si="37"/>
        <v>high</v>
      </c>
      <c r="S470" s="1" t="str" cm="1">
        <f t="array" ref="S470">_xlfn.IFS(L470&gt;5,"high",L470=5,"medium",L470&lt;5,"low")</f>
        <v>medium</v>
      </c>
      <c r="T470" s="10" t="str">
        <f t="shared" si="38"/>
        <v>medium</v>
      </c>
      <c r="U470" s="1">
        <f t="shared" si="39"/>
        <v>19726.75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57.273500000000006</v>
      </c>
      <c r="Q471" s="1">
        <f t="shared" si="36"/>
        <v>1088.1965</v>
      </c>
      <c r="R471" s="1" t="str">
        <f t="shared" si="37"/>
        <v>high</v>
      </c>
      <c r="S471" s="1" t="str" cm="1">
        <f t="array" ref="S471">_xlfn.IFS(L471&gt;5,"high",L471=5,"medium",L471&lt;5,"low")</f>
        <v>high</v>
      </c>
      <c r="T471" s="10" t="str">
        <f t="shared" si="38"/>
        <v>high</v>
      </c>
      <c r="U471" s="1">
        <f t="shared" si="39"/>
        <v>1205.76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1074.6580000000001</v>
      </c>
      <c r="Q472" s="1">
        <f t="shared" si="36"/>
        <v>20418.502</v>
      </c>
      <c r="R472" s="1" t="str">
        <f t="shared" si="37"/>
        <v>high</v>
      </c>
      <c r="S472" s="1" t="str" cm="1">
        <f t="array" ref="S472">_xlfn.IFS(L472&gt;5,"high",L472=5,"medium",L472&lt;5,"low")</f>
        <v>high</v>
      </c>
      <c r="T472" s="10" t="str">
        <f t="shared" si="38"/>
        <v>high</v>
      </c>
      <c r="U472" s="1">
        <f t="shared" si="39"/>
        <v>22624.38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1135.463</v>
      </c>
      <c r="Q473" s="1">
        <f t="shared" si="36"/>
        <v>10219.166999999999</v>
      </c>
      <c r="R473" s="1" t="str">
        <f t="shared" si="37"/>
        <v>high</v>
      </c>
      <c r="S473" s="1" t="str" cm="1">
        <f t="array" ref="S473">_xlfn.IFS(L473&gt;5,"high",L473=5,"medium",L473&lt;5,"low")</f>
        <v>medium</v>
      </c>
      <c r="T473" s="10" t="str">
        <f t="shared" si="38"/>
        <v>medium</v>
      </c>
      <c r="U473" s="1">
        <f t="shared" si="39"/>
        <v>12616.25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544.68050000000005</v>
      </c>
      <c r="Q474" s="1">
        <f t="shared" si="36"/>
        <v>10348.9295</v>
      </c>
      <c r="R474" s="1" t="str">
        <f t="shared" si="37"/>
        <v>high</v>
      </c>
      <c r="S474" s="1" t="str" cm="1">
        <f t="array" ref="S474">_xlfn.IFS(L474&gt;5,"high",L474=5,"medium",L474&lt;5,"low")</f>
        <v>high</v>
      </c>
      <c r="T474" s="10" t="str">
        <f t="shared" si="38"/>
        <v>high</v>
      </c>
      <c r="U474" s="1">
        <f t="shared" si="39"/>
        <v>11466.960000000001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213.97649999999999</v>
      </c>
      <c r="Q475" s="1">
        <f t="shared" si="36"/>
        <v>1212.5335</v>
      </c>
      <c r="R475" s="1" t="str">
        <f t="shared" si="37"/>
        <v>low</v>
      </c>
      <c r="S475" s="1" t="str" cm="1">
        <f t="array" ref="S475">_xlfn.IFS(L475&gt;5,"high",L475=5,"medium",L475&lt;5,"low")</f>
        <v>low</v>
      </c>
      <c r="T475" s="10" t="str">
        <f t="shared" si="38"/>
        <v>low</v>
      </c>
      <c r="U475" s="1">
        <f t="shared" si="39"/>
        <v>1678.25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1199.0350000000001</v>
      </c>
      <c r="Q476" s="1">
        <f t="shared" si="36"/>
        <v>10791.315000000001</v>
      </c>
      <c r="R476" s="1" t="str">
        <f t="shared" si="37"/>
        <v>high</v>
      </c>
      <c r="S476" s="1" t="str" cm="1">
        <f t="array" ref="S476">_xlfn.IFS(L476&gt;5,"high",L476=5,"medium",L476&lt;5,"low")</f>
        <v>high</v>
      </c>
      <c r="T476" s="10" t="str">
        <f t="shared" si="38"/>
        <v>high</v>
      </c>
      <c r="U476" s="1">
        <f t="shared" si="39"/>
        <v>13322.61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1118.4639999999999</v>
      </c>
      <c r="Q477" s="1">
        <f t="shared" si="36"/>
        <v>4473.8559999999998</v>
      </c>
      <c r="R477" s="1" t="str">
        <f t="shared" si="37"/>
        <v>low</v>
      </c>
      <c r="S477" s="1" t="str" cm="1">
        <f t="array" ref="S477">_xlfn.IFS(L477&gt;5,"high",L477=5,"medium",L477&lt;5,"low")</f>
        <v>low</v>
      </c>
      <c r="T477" s="10" t="str">
        <f t="shared" si="38"/>
        <v>low</v>
      </c>
      <c r="U477" s="1">
        <f t="shared" si="39"/>
        <v>6990.4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0</v>
      </c>
      <c r="Q478" s="1">
        <f t="shared" si="36"/>
        <v>5924.8</v>
      </c>
      <c r="R478" s="1" t="str">
        <f t="shared" si="37"/>
        <v>low</v>
      </c>
      <c r="S478" s="1" t="str" cm="1">
        <f t="array" ref="S478">_xlfn.IFS(L478&gt;5,"high",L478=5,"medium",L478&lt;5,"low")</f>
        <v>low</v>
      </c>
      <c r="T478" s="10" t="str">
        <f t="shared" si="38"/>
        <v>low</v>
      </c>
      <c r="U478" s="1">
        <f t="shared" si="39"/>
        <v>5924.8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159.39100000000002</v>
      </c>
      <c r="Q479" s="1">
        <f t="shared" si="36"/>
        <v>3028.4290000000001</v>
      </c>
      <c r="R479" s="1" t="str">
        <f t="shared" si="37"/>
        <v>high</v>
      </c>
      <c r="S479" s="1" t="str" cm="1">
        <f t="array" ref="S479">_xlfn.IFS(L479&gt;5,"high",L479=5,"medium",L479&lt;5,"low")</f>
        <v>medium</v>
      </c>
      <c r="T479" s="10" t="str">
        <f t="shared" si="38"/>
        <v>medium</v>
      </c>
      <c r="U479" s="1">
        <f t="shared" si="39"/>
        <v>3355.6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437.23599999999999</v>
      </c>
      <c r="Q480" s="1">
        <f t="shared" si="36"/>
        <v>1748.944</v>
      </c>
      <c r="R480" s="1" t="str">
        <f t="shared" si="37"/>
        <v>low</v>
      </c>
      <c r="S480" s="1" t="str" cm="1">
        <f t="array" ref="S480">_xlfn.IFS(L480&gt;5,"high",L480=5,"medium",L480&lt;5,"low")</f>
        <v>low</v>
      </c>
      <c r="T480" s="10" t="str">
        <f t="shared" si="38"/>
        <v>low</v>
      </c>
      <c r="U480" s="1">
        <f t="shared" si="39"/>
        <v>2732.73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646.42499999999995</v>
      </c>
      <c r="Q481" s="1">
        <f t="shared" si="36"/>
        <v>3663.0749999999998</v>
      </c>
      <c r="R481" s="1" t="str">
        <f t="shared" si="37"/>
        <v>high</v>
      </c>
      <c r="S481" s="1" t="str" cm="1">
        <f t="array" ref="S481">_xlfn.IFS(L481&gt;5,"high",L481=5,"medium",L481&lt;5,"low")</f>
        <v>high</v>
      </c>
      <c r="T481" s="10" t="str">
        <f t="shared" si="38"/>
        <v>high</v>
      </c>
      <c r="U481" s="1">
        <f t="shared" si="39"/>
        <v>5070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0</v>
      </c>
      <c r="Q482" s="1">
        <f t="shared" si="36"/>
        <v>9284.08</v>
      </c>
      <c r="R482" s="1" t="str">
        <f t="shared" si="37"/>
        <v>high</v>
      </c>
      <c r="S482" s="1" t="str" cm="1">
        <f t="array" ref="S482">_xlfn.IFS(L482&gt;5,"high",L482=5,"medium",L482&lt;5,"low")</f>
        <v>high</v>
      </c>
      <c r="T482" s="10" t="str">
        <f t="shared" si="38"/>
        <v>high</v>
      </c>
      <c r="U482" s="1">
        <f t="shared" si="39"/>
        <v>9284.08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2432.9080000000004</v>
      </c>
      <c r="Q483" s="1">
        <f t="shared" si="36"/>
        <v>9731.6320000000014</v>
      </c>
      <c r="R483" s="1" t="str">
        <f t="shared" si="37"/>
        <v>high</v>
      </c>
      <c r="S483" s="1" t="str" cm="1">
        <f t="array" ref="S483">_xlfn.IFS(L483&gt;5,"high",L483=5,"medium",L483&lt;5,"low")</f>
        <v>high</v>
      </c>
      <c r="T483" s="10" t="str">
        <f t="shared" si="38"/>
        <v>high</v>
      </c>
      <c r="U483" s="1">
        <f t="shared" si="39"/>
        <v>15205.679999999998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0</v>
      </c>
      <c r="Q484" s="1">
        <f t="shared" si="36"/>
        <v>1734.45</v>
      </c>
      <c r="R484" s="1" t="str">
        <f t="shared" si="37"/>
        <v>low</v>
      </c>
      <c r="S484" s="1" t="str" cm="1">
        <f t="array" ref="S484">_xlfn.IFS(L484&gt;5,"high",L484=5,"medium",L484&lt;5,"low")</f>
        <v>low</v>
      </c>
      <c r="T484" s="10" t="str">
        <f t="shared" si="38"/>
        <v>low</v>
      </c>
      <c r="U484" s="1">
        <f t="shared" si="39"/>
        <v>1734.4499999999998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1327.1310000000001</v>
      </c>
      <c r="Q485" s="1">
        <f t="shared" si="36"/>
        <v>25215.488999999998</v>
      </c>
      <c r="R485" s="1" t="str">
        <f t="shared" si="37"/>
        <v>high</v>
      </c>
      <c r="S485" s="1" t="str" cm="1">
        <f t="array" ref="S485">_xlfn.IFS(L485&gt;5,"high",L485=5,"medium",L485&lt;5,"low")</f>
        <v>high</v>
      </c>
      <c r="T485" s="10" t="str">
        <f t="shared" si="38"/>
        <v>high</v>
      </c>
      <c r="U485" s="1">
        <f t="shared" si="39"/>
        <v>27939.599999999999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330.18450000000001</v>
      </c>
      <c r="Q486" s="1">
        <f t="shared" si="36"/>
        <v>1871.0454999999999</v>
      </c>
      <c r="R486" s="1" t="str">
        <f t="shared" si="37"/>
        <v>low</v>
      </c>
      <c r="S486" s="1" t="str" cm="1">
        <f t="array" ref="S486">_xlfn.IFS(L486&gt;5,"high",L486=5,"medium",L486&lt;5,"low")</f>
        <v>low</v>
      </c>
      <c r="T486" s="10" t="str">
        <f t="shared" si="38"/>
        <v>low</v>
      </c>
      <c r="U486" s="1">
        <f t="shared" si="39"/>
        <v>2589.6799999999998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0</v>
      </c>
      <c r="Q487" s="1">
        <f t="shared" si="36"/>
        <v>6981.93</v>
      </c>
      <c r="R487" s="1" t="str">
        <f t="shared" si="37"/>
        <v>high</v>
      </c>
      <c r="S487" s="1" t="str" cm="1">
        <f t="array" ref="S487">_xlfn.IFS(L487&gt;5,"high",L487=5,"medium",L487&lt;5,"low")</f>
        <v>high</v>
      </c>
      <c r="T487" s="10" t="str">
        <f t="shared" si="38"/>
        <v>high</v>
      </c>
      <c r="U487" s="1">
        <f t="shared" si="39"/>
        <v>6981.93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1760.73</v>
      </c>
      <c r="Q488" s="1">
        <f t="shared" si="36"/>
        <v>7042.92</v>
      </c>
      <c r="R488" s="1" t="str">
        <f t="shared" si="37"/>
        <v>low</v>
      </c>
      <c r="S488" s="1" t="str" cm="1">
        <f t="array" ref="S488">_xlfn.IFS(L488&gt;5,"high",L488=5,"medium",L488&lt;5,"low")</f>
        <v>low</v>
      </c>
      <c r="T488" s="10" t="str">
        <f t="shared" si="38"/>
        <v>low</v>
      </c>
      <c r="U488" s="1">
        <f t="shared" si="39"/>
        <v>11004.56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14.090000000000002</v>
      </c>
      <c r="Q489" s="1">
        <f t="shared" si="36"/>
        <v>267.71000000000004</v>
      </c>
      <c r="R489" s="1" t="str">
        <f t="shared" si="37"/>
        <v>low</v>
      </c>
      <c r="S489" s="1" t="str" cm="1">
        <f t="array" ref="S489">_xlfn.IFS(L489&gt;5,"high",L489=5,"medium",L489&lt;5,"low")</f>
        <v>low</v>
      </c>
      <c r="T489" s="10" t="str">
        <f t="shared" si="38"/>
        <v>low</v>
      </c>
      <c r="U489" s="1">
        <f t="shared" si="39"/>
        <v>296.63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964.01450000000011</v>
      </c>
      <c r="Q490" s="1">
        <f t="shared" si="36"/>
        <v>18316.2755</v>
      </c>
      <c r="R490" s="1" t="str">
        <f t="shared" si="37"/>
        <v>high</v>
      </c>
      <c r="S490" s="1" t="str" cm="1">
        <f t="array" ref="S490">_xlfn.IFS(L490&gt;5,"high",L490=5,"medium",L490&lt;5,"low")</f>
        <v>high</v>
      </c>
      <c r="T490" s="10" t="str">
        <f t="shared" si="38"/>
        <v>high</v>
      </c>
      <c r="U490" s="1">
        <f t="shared" si="39"/>
        <v>20295.04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3178.6280000000002</v>
      </c>
      <c r="Q491" s="1">
        <f t="shared" si="36"/>
        <v>12714.511999999999</v>
      </c>
      <c r="R491" s="1" t="str">
        <f t="shared" si="37"/>
        <v>high</v>
      </c>
      <c r="S491" s="1" t="str" cm="1">
        <f t="array" ref="S491">_xlfn.IFS(L491&gt;5,"high",L491=5,"medium",L491&lt;5,"low")</f>
        <v>high</v>
      </c>
      <c r="T491" s="10" t="str">
        <f t="shared" si="38"/>
        <v>high</v>
      </c>
      <c r="U491" s="1">
        <f t="shared" si="39"/>
        <v>19866.419999999998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781.94399999999996</v>
      </c>
      <c r="Q492" s="1">
        <f t="shared" si="36"/>
        <v>3127.7759999999998</v>
      </c>
      <c r="R492" s="1" t="str">
        <f t="shared" si="37"/>
        <v>high</v>
      </c>
      <c r="S492" s="1" t="str" cm="1">
        <f t="array" ref="S492">_xlfn.IFS(L492&gt;5,"high",L492=5,"medium",L492&lt;5,"low")</f>
        <v>medium</v>
      </c>
      <c r="T492" s="10" t="str">
        <f t="shared" si="38"/>
        <v>medium</v>
      </c>
      <c r="U492" s="1">
        <f t="shared" si="39"/>
        <v>4887.1499999999996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0</v>
      </c>
      <c r="Q493" s="1">
        <f t="shared" si="36"/>
        <v>1557.8</v>
      </c>
      <c r="R493" s="1" t="str">
        <f t="shared" si="37"/>
        <v>high</v>
      </c>
      <c r="S493" s="1" t="str" cm="1">
        <f t="array" ref="S493">_xlfn.IFS(L493&gt;5,"high",L493=5,"medium",L493&lt;5,"low")</f>
        <v>medium</v>
      </c>
      <c r="T493" s="10" t="str">
        <f t="shared" si="38"/>
        <v>medium</v>
      </c>
      <c r="U493" s="1">
        <f t="shared" si="39"/>
        <v>1557.8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976.51900000000012</v>
      </c>
      <c r="Q494" s="1">
        <f t="shared" si="36"/>
        <v>8788.6710000000003</v>
      </c>
      <c r="R494" s="1" t="str">
        <f t="shared" si="37"/>
        <v>high</v>
      </c>
      <c r="S494" s="1" t="str" cm="1">
        <f t="array" ref="S494">_xlfn.IFS(L494&gt;5,"high",L494=5,"medium",L494&lt;5,"low")</f>
        <v>high</v>
      </c>
      <c r="T494" s="10" t="str">
        <f t="shared" si="38"/>
        <v>high</v>
      </c>
      <c r="U494" s="1">
        <f t="shared" si="39"/>
        <v>10850.21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125.77750000000002</v>
      </c>
      <c r="Q495" s="1">
        <f t="shared" si="36"/>
        <v>2389.7725</v>
      </c>
      <c r="R495" s="1" t="str">
        <f t="shared" si="37"/>
        <v>high</v>
      </c>
      <c r="S495" s="1" t="str" cm="1">
        <f t="array" ref="S495">_xlfn.IFS(L495&gt;5,"high",L495=5,"medium",L495&lt;5,"low")</f>
        <v>medium</v>
      </c>
      <c r="T495" s="10" t="str">
        <f t="shared" si="38"/>
        <v>medium</v>
      </c>
      <c r="U495" s="1">
        <f t="shared" si="39"/>
        <v>2647.9500000000003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0</v>
      </c>
      <c r="Q496" s="1">
        <f t="shared" si="36"/>
        <v>4787.5200000000004</v>
      </c>
      <c r="R496" s="1" t="str">
        <f t="shared" si="37"/>
        <v>high</v>
      </c>
      <c r="S496" s="1" t="str" cm="1">
        <f t="array" ref="S496">_xlfn.IFS(L496&gt;5,"high",L496=5,"medium",L496&lt;5,"low")</f>
        <v>high</v>
      </c>
      <c r="T496" s="10" t="str">
        <f t="shared" si="38"/>
        <v>high</v>
      </c>
      <c r="U496" s="1">
        <f t="shared" si="39"/>
        <v>4787.5200000000004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1083.7540000000001</v>
      </c>
      <c r="Q497" s="1">
        <f t="shared" si="36"/>
        <v>4335.0160000000005</v>
      </c>
      <c r="R497" s="1" t="str">
        <f t="shared" si="37"/>
        <v>high</v>
      </c>
      <c r="S497" s="1" t="str" cm="1">
        <f t="array" ref="S497">_xlfn.IFS(L497&gt;5,"high",L497=5,"medium",L497&lt;5,"low")</f>
        <v>high</v>
      </c>
      <c r="T497" s="10" t="str">
        <f t="shared" si="38"/>
        <v>high</v>
      </c>
      <c r="U497" s="1">
        <f t="shared" si="39"/>
        <v>6773.4600000000009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0</v>
      </c>
      <c r="Q498" s="1">
        <f t="shared" si="36"/>
        <v>6437.75</v>
      </c>
      <c r="R498" s="1" t="str">
        <f t="shared" si="37"/>
        <v>high</v>
      </c>
      <c r="S498" s="1" t="str" cm="1">
        <f t="array" ref="S498">_xlfn.IFS(L498&gt;5,"high",L498=5,"medium",L498&lt;5,"low")</f>
        <v>medium</v>
      </c>
      <c r="T498" s="10" t="str">
        <f t="shared" si="38"/>
        <v>medium</v>
      </c>
      <c r="U498" s="1">
        <f t="shared" si="39"/>
        <v>6437.75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3154.1620000000003</v>
      </c>
      <c r="Q499" s="1">
        <f t="shared" si="36"/>
        <v>12616.647999999999</v>
      </c>
      <c r="R499" s="1" t="str">
        <f t="shared" si="37"/>
        <v>high</v>
      </c>
      <c r="S499" s="1" t="str" cm="1">
        <f t="array" ref="S499">_xlfn.IFS(L499&gt;5,"high",L499=5,"medium",L499&lt;5,"low")</f>
        <v>high</v>
      </c>
      <c r="T499" s="10" t="str">
        <f t="shared" si="38"/>
        <v>high</v>
      </c>
      <c r="U499" s="1">
        <f t="shared" si="39"/>
        <v>19713.509999999998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704.26199999999994</v>
      </c>
      <c r="Q500" s="1">
        <f t="shared" si="36"/>
        <v>3990.8180000000002</v>
      </c>
      <c r="R500" s="1" t="str">
        <f t="shared" si="37"/>
        <v>low</v>
      </c>
      <c r="S500" s="1" t="str" cm="1">
        <f t="array" ref="S500">_xlfn.IFS(L500&gt;5,"high",L500=5,"medium",L500&lt;5,"low")</f>
        <v>low</v>
      </c>
      <c r="T500" s="10" t="str">
        <f t="shared" si="38"/>
        <v>low</v>
      </c>
      <c r="U500" s="1">
        <f t="shared" si="39"/>
        <v>5523.62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35"/>
        <v>389.14800000000002</v>
      </c>
      <c r="Q501" s="1">
        <f t="shared" si="36"/>
        <v>1556.5920000000001</v>
      </c>
      <c r="R501" s="1" t="str">
        <f t="shared" si="37"/>
        <v>low</v>
      </c>
      <c r="S501" s="1" t="str" cm="1">
        <f t="array" ref="S501">_xlfn.IFS(L501&gt;5,"high",L501=5,"medium",L501&lt;5,"low")</f>
        <v>low</v>
      </c>
      <c r="T501" s="10" t="str">
        <f t="shared" si="38"/>
        <v>low</v>
      </c>
      <c r="U501" s="1">
        <f t="shared" si="39"/>
        <v>2432.17</v>
      </c>
    </row>
    <row r="502" spans="1:21" x14ac:dyDescent="0.3">
      <c r="U502" s="1">
        <f>SUM(U1:U501)</f>
        <v>5134263.8099999949</v>
      </c>
    </row>
  </sheetData>
  <dataValidations count="2">
    <dataValidation type="list" allowBlank="1" showInputMessage="1" showErrorMessage="1" sqref="X6 X10 X13" xr:uid="{FF2C1819-891D-4D4B-BF12-F7959DBF3436}">
      <formula1>$AA$2:$AA$6</formula1>
    </dataValidation>
    <dataValidation type="list" allowBlank="1" showInputMessage="1" showErrorMessage="1" sqref="W13" xr:uid="{83C4CF74-0189-41BE-AD4B-2A856CEA1CF9}">
      <formula1>$AB$1:$AB$13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FAF6-3D6C-4079-906A-5E1875983ECA}">
  <dimension ref="A1:L501"/>
  <sheetViews>
    <sheetView topLeftCell="H1" workbookViewId="0">
      <selection activeCell="L8" sqref="J7:L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10" max="10" width="11.33203125" bestFit="1" customWidth="1"/>
    <col min="11" max="12" width="10.332031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3" t="s">
        <v>0</v>
      </c>
      <c r="K1" s="3" t="s">
        <v>4</v>
      </c>
    </row>
    <row r="2" spans="1:12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J2">
        <v>10003</v>
      </c>
      <c r="K2" t="str">
        <f>VLOOKUP(J2,A2:G501,5,0)</f>
        <v>Chennai</v>
      </c>
    </row>
    <row r="3" spans="1:12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</row>
    <row r="4" spans="1:12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J4" s="3" t="s">
        <v>1</v>
      </c>
      <c r="K4" t="s">
        <v>81</v>
      </c>
    </row>
    <row r="5" spans="1:12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J5">
        <v>1106</v>
      </c>
      <c r="K5" t="str">
        <f>VLOOKUP(J5,B1:G501,4,0)</f>
        <v>Kolkata</v>
      </c>
    </row>
    <row r="6" spans="1:12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</row>
    <row r="7" spans="1:12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J7" s="3" t="s">
        <v>87</v>
      </c>
      <c r="K7" s="3" t="s">
        <v>88</v>
      </c>
      <c r="L7" s="3" t="s">
        <v>89</v>
      </c>
    </row>
    <row r="8" spans="1:12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J8" s="1">
        <v>10003</v>
      </c>
      <c r="K8" s="2" cm="1">
        <f t="array" ref="K8:L8">VLOOKUP(J8,A2:G501,{3,4},0)</f>
        <v>45109</v>
      </c>
      <c r="L8" s="2">
        <v>45114</v>
      </c>
    </row>
    <row r="9" spans="1:12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</row>
    <row r="10" spans="1:12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</row>
    <row r="11" spans="1:12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</row>
    <row r="12" spans="1:12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</row>
    <row r="13" spans="1:12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</row>
    <row r="14" spans="1:12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</row>
    <row r="15" spans="1:12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</row>
    <row r="16" spans="1:12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</row>
    <row r="17" spans="1:7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</row>
    <row r="18" spans="1:7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</row>
    <row r="19" spans="1:7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</row>
    <row r="20" spans="1:7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</row>
    <row r="21" spans="1:7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</row>
    <row r="22" spans="1:7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</row>
    <row r="23" spans="1:7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</row>
    <row r="24" spans="1:7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</row>
    <row r="25" spans="1:7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</row>
    <row r="26" spans="1:7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</row>
    <row r="27" spans="1:7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</row>
    <row r="28" spans="1:7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</row>
    <row r="29" spans="1:7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</row>
    <row r="30" spans="1:7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</row>
    <row r="31" spans="1:7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</row>
    <row r="32" spans="1:7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</row>
    <row r="33" spans="1:7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</row>
    <row r="34" spans="1:7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</row>
    <row r="35" spans="1:7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</row>
    <row r="36" spans="1:7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</row>
    <row r="37" spans="1:7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</row>
    <row r="38" spans="1:7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</row>
    <row r="39" spans="1:7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</row>
    <row r="40" spans="1:7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</row>
    <row r="41" spans="1:7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</row>
    <row r="42" spans="1:7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</row>
    <row r="43" spans="1:7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</row>
    <row r="44" spans="1:7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</row>
    <row r="45" spans="1:7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</row>
    <row r="46" spans="1:7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</row>
    <row r="47" spans="1:7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</row>
    <row r="48" spans="1:7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</row>
    <row r="49" spans="1:7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</row>
    <row r="50" spans="1:7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</row>
    <row r="51" spans="1:7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</row>
    <row r="52" spans="1:7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</row>
    <row r="53" spans="1:7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</row>
    <row r="54" spans="1:7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</row>
    <row r="55" spans="1:7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</row>
    <row r="56" spans="1:7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</row>
    <row r="57" spans="1:7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</row>
    <row r="58" spans="1:7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</row>
    <row r="59" spans="1:7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</row>
    <row r="60" spans="1:7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</row>
    <row r="61" spans="1:7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</row>
    <row r="62" spans="1:7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</row>
    <row r="63" spans="1:7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</row>
    <row r="64" spans="1:7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</row>
    <row r="65" spans="1:7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</row>
    <row r="66" spans="1:7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</row>
    <row r="67" spans="1:7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</row>
    <row r="68" spans="1:7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</row>
    <row r="69" spans="1:7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</row>
    <row r="70" spans="1:7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</row>
    <row r="71" spans="1:7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</row>
    <row r="72" spans="1:7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</row>
    <row r="73" spans="1:7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</row>
    <row r="74" spans="1:7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</row>
    <row r="75" spans="1:7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</row>
    <row r="76" spans="1:7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</row>
    <row r="77" spans="1:7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</row>
    <row r="78" spans="1:7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</row>
    <row r="79" spans="1:7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</row>
    <row r="80" spans="1:7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</row>
    <row r="81" spans="1:7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</row>
    <row r="82" spans="1:7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</row>
    <row r="83" spans="1:7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</row>
    <row r="84" spans="1:7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</row>
    <row r="85" spans="1:7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</row>
    <row r="86" spans="1:7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</row>
    <row r="87" spans="1:7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</row>
    <row r="88" spans="1:7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</row>
    <row r="89" spans="1:7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</row>
    <row r="90" spans="1:7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</row>
    <row r="91" spans="1:7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</row>
    <row r="92" spans="1:7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</row>
    <row r="93" spans="1:7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</row>
    <row r="94" spans="1:7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</row>
    <row r="95" spans="1:7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</row>
    <row r="96" spans="1:7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</row>
    <row r="97" spans="1:7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</row>
    <row r="98" spans="1:7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</row>
    <row r="99" spans="1:7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</row>
    <row r="100" spans="1:7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</row>
    <row r="101" spans="1:7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</row>
    <row r="102" spans="1:7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</row>
    <row r="103" spans="1:7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</row>
    <row r="104" spans="1:7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</row>
    <row r="105" spans="1:7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</row>
    <row r="106" spans="1:7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</row>
    <row r="107" spans="1:7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</row>
    <row r="108" spans="1:7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</row>
    <row r="109" spans="1:7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</row>
    <row r="110" spans="1:7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</row>
    <row r="111" spans="1:7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</row>
    <row r="112" spans="1:7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</row>
    <row r="113" spans="1:7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</row>
    <row r="114" spans="1:7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</row>
    <row r="115" spans="1:7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</row>
    <row r="116" spans="1:7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</row>
    <row r="117" spans="1:7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</row>
    <row r="118" spans="1:7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</row>
    <row r="119" spans="1:7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</row>
    <row r="120" spans="1:7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</row>
    <row r="121" spans="1:7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</row>
    <row r="122" spans="1:7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</row>
    <row r="123" spans="1:7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</row>
    <row r="124" spans="1:7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</row>
    <row r="125" spans="1:7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</row>
    <row r="126" spans="1:7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</row>
    <row r="127" spans="1:7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</row>
    <row r="128" spans="1:7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</row>
    <row r="129" spans="1:7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</row>
    <row r="130" spans="1:7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</row>
    <row r="131" spans="1:7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</row>
    <row r="132" spans="1:7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</row>
    <row r="133" spans="1:7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</row>
    <row r="134" spans="1:7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</row>
    <row r="135" spans="1:7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</row>
    <row r="136" spans="1:7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</row>
    <row r="137" spans="1:7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</row>
    <row r="138" spans="1:7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</row>
    <row r="139" spans="1:7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</row>
    <row r="140" spans="1:7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</row>
    <row r="141" spans="1:7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</row>
    <row r="142" spans="1:7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</row>
    <row r="143" spans="1:7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</row>
    <row r="144" spans="1:7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</row>
    <row r="145" spans="1:7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</row>
    <row r="146" spans="1:7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</row>
    <row r="147" spans="1:7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</row>
    <row r="148" spans="1:7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</row>
    <row r="149" spans="1:7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</row>
    <row r="150" spans="1:7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</row>
    <row r="151" spans="1:7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</row>
    <row r="152" spans="1:7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</row>
    <row r="153" spans="1:7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</row>
    <row r="154" spans="1:7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</row>
    <row r="155" spans="1:7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</row>
    <row r="156" spans="1:7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</row>
    <row r="157" spans="1:7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</row>
    <row r="158" spans="1:7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</row>
    <row r="159" spans="1:7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</row>
    <row r="160" spans="1:7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</row>
    <row r="161" spans="1:7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</row>
    <row r="162" spans="1:7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</row>
    <row r="163" spans="1:7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</row>
    <row r="164" spans="1:7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</row>
    <row r="165" spans="1:7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</row>
    <row r="166" spans="1:7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</row>
    <row r="167" spans="1:7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</row>
    <row r="168" spans="1:7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</row>
    <row r="169" spans="1:7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</row>
    <row r="170" spans="1:7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</row>
    <row r="171" spans="1:7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</row>
    <row r="172" spans="1:7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</row>
    <row r="173" spans="1:7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</row>
    <row r="174" spans="1:7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</row>
    <row r="175" spans="1:7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</row>
    <row r="176" spans="1:7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</row>
    <row r="177" spans="1:7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</row>
    <row r="178" spans="1:7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</row>
    <row r="179" spans="1:7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</row>
    <row r="180" spans="1:7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</row>
    <row r="181" spans="1:7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</row>
    <row r="182" spans="1:7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</row>
    <row r="183" spans="1:7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</row>
    <row r="184" spans="1:7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</row>
    <row r="185" spans="1:7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</row>
    <row r="186" spans="1:7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</row>
    <row r="187" spans="1:7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</row>
    <row r="188" spans="1:7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</row>
    <row r="189" spans="1:7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</row>
    <row r="190" spans="1:7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</row>
    <row r="191" spans="1:7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</row>
    <row r="192" spans="1:7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</row>
    <row r="193" spans="1:7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</row>
    <row r="194" spans="1:7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</row>
    <row r="195" spans="1:7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</row>
    <row r="196" spans="1:7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</row>
    <row r="197" spans="1:7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</row>
    <row r="198" spans="1:7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</row>
    <row r="199" spans="1:7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</row>
    <row r="200" spans="1:7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</row>
    <row r="201" spans="1:7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</row>
    <row r="202" spans="1:7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</row>
    <row r="203" spans="1:7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</row>
    <row r="204" spans="1:7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</row>
    <row r="205" spans="1:7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</row>
    <row r="206" spans="1:7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</row>
    <row r="207" spans="1:7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</row>
    <row r="208" spans="1:7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</row>
    <row r="209" spans="1:7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</row>
    <row r="210" spans="1:7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</row>
    <row r="211" spans="1:7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</row>
    <row r="212" spans="1:7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</row>
    <row r="213" spans="1:7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</row>
    <row r="214" spans="1:7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</row>
    <row r="215" spans="1:7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</row>
    <row r="216" spans="1:7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</row>
    <row r="217" spans="1:7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</row>
    <row r="218" spans="1:7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</row>
    <row r="219" spans="1:7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</row>
    <row r="220" spans="1:7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</row>
    <row r="221" spans="1:7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</row>
    <row r="222" spans="1:7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</row>
    <row r="223" spans="1:7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</row>
    <row r="224" spans="1:7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</row>
    <row r="225" spans="1:7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</row>
    <row r="226" spans="1:7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</row>
    <row r="227" spans="1:7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</row>
    <row r="228" spans="1:7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</row>
    <row r="229" spans="1:7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</row>
    <row r="230" spans="1:7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</row>
    <row r="231" spans="1:7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</row>
    <row r="232" spans="1:7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</row>
    <row r="233" spans="1:7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</row>
    <row r="234" spans="1:7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</row>
    <row r="235" spans="1:7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</row>
    <row r="236" spans="1:7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</row>
    <row r="237" spans="1:7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</row>
    <row r="238" spans="1:7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</row>
    <row r="239" spans="1:7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</row>
    <row r="240" spans="1:7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</row>
    <row r="241" spans="1:7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</row>
    <row r="242" spans="1:7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</row>
    <row r="243" spans="1:7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</row>
    <row r="244" spans="1:7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</row>
    <row r="245" spans="1:7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</row>
    <row r="246" spans="1:7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</row>
    <row r="247" spans="1:7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</row>
    <row r="248" spans="1:7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</row>
    <row r="249" spans="1:7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</row>
    <row r="250" spans="1:7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</row>
    <row r="251" spans="1:7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</row>
    <row r="252" spans="1:7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</row>
    <row r="253" spans="1:7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</row>
    <row r="254" spans="1:7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</row>
    <row r="255" spans="1:7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</row>
    <row r="256" spans="1:7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</row>
    <row r="257" spans="1:7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</row>
    <row r="258" spans="1:7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</row>
    <row r="259" spans="1:7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</row>
    <row r="260" spans="1:7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</row>
    <row r="261" spans="1:7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</row>
    <row r="262" spans="1:7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</row>
    <row r="263" spans="1:7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</row>
    <row r="264" spans="1:7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</row>
    <row r="265" spans="1:7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</row>
    <row r="266" spans="1:7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</row>
    <row r="267" spans="1:7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</row>
    <row r="268" spans="1:7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</row>
    <row r="269" spans="1:7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</row>
    <row r="270" spans="1:7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</row>
    <row r="271" spans="1:7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</row>
    <row r="272" spans="1:7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</row>
    <row r="273" spans="1:7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</row>
    <row r="274" spans="1:7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</row>
    <row r="275" spans="1:7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</row>
    <row r="276" spans="1:7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</row>
    <row r="277" spans="1:7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</row>
    <row r="278" spans="1:7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</row>
    <row r="279" spans="1:7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</row>
    <row r="280" spans="1:7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</row>
    <row r="281" spans="1:7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</row>
    <row r="282" spans="1:7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</row>
    <row r="283" spans="1:7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</row>
    <row r="284" spans="1:7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</row>
    <row r="285" spans="1:7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</row>
    <row r="286" spans="1:7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</row>
    <row r="287" spans="1:7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</row>
    <row r="288" spans="1:7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</row>
    <row r="289" spans="1:7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</row>
    <row r="290" spans="1:7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</row>
    <row r="291" spans="1:7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</row>
    <row r="292" spans="1:7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</row>
    <row r="293" spans="1:7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</row>
    <row r="294" spans="1:7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</row>
    <row r="295" spans="1:7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</row>
    <row r="296" spans="1:7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</row>
    <row r="297" spans="1:7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</row>
    <row r="298" spans="1:7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</row>
    <row r="299" spans="1:7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</row>
    <row r="300" spans="1:7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</row>
    <row r="301" spans="1:7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</row>
    <row r="302" spans="1:7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</row>
    <row r="303" spans="1:7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</row>
    <row r="304" spans="1:7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</row>
    <row r="305" spans="1:7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</row>
    <row r="306" spans="1:7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</row>
    <row r="307" spans="1:7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</row>
    <row r="308" spans="1:7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</row>
    <row r="309" spans="1:7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</row>
    <row r="310" spans="1:7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</row>
    <row r="311" spans="1:7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</row>
    <row r="312" spans="1:7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</row>
    <row r="313" spans="1:7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</row>
    <row r="314" spans="1:7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</row>
    <row r="315" spans="1:7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</row>
    <row r="316" spans="1:7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</row>
    <row r="317" spans="1:7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</row>
    <row r="318" spans="1:7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</row>
    <row r="319" spans="1:7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</row>
    <row r="320" spans="1:7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</row>
    <row r="321" spans="1:7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</row>
    <row r="322" spans="1:7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</row>
    <row r="323" spans="1:7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</row>
    <row r="324" spans="1:7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</row>
    <row r="325" spans="1:7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</row>
    <row r="326" spans="1:7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</row>
    <row r="327" spans="1:7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</row>
    <row r="328" spans="1:7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</row>
    <row r="329" spans="1:7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</row>
    <row r="330" spans="1:7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</row>
    <row r="331" spans="1:7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</row>
    <row r="332" spans="1:7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</row>
    <row r="333" spans="1:7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</row>
    <row r="334" spans="1:7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</row>
    <row r="335" spans="1:7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</row>
    <row r="336" spans="1:7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</row>
    <row r="337" spans="1:7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</row>
    <row r="338" spans="1:7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</row>
    <row r="339" spans="1:7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</row>
    <row r="340" spans="1:7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</row>
    <row r="341" spans="1:7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</row>
    <row r="342" spans="1:7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</row>
    <row r="343" spans="1:7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</row>
    <row r="344" spans="1:7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</row>
    <row r="345" spans="1:7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</row>
    <row r="346" spans="1:7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</row>
    <row r="347" spans="1:7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</row>
    <row r="348" spans="1:7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</row>
    <row r="349" spans="1:7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</row>
    <row r="350" spans="1:7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</row>
    <row r="351" spans="1:7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</row>
    <row r="352" spans="1:7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</row>
    <row r="353" spans="1:7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</row>
    <row r="354" spans="1:7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</row>
    <row r="355" spans="1:7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</row>
    <row r="356" spans="1:7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</row>
    <row r="357" spans="1:7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</row>
    <row r="358" spans="1:7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</row>
    <row r="359" spans="1:7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</row>
    <row r="360" spans="1:7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</row>
    <row r="361" spans="1:7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</row>
    <row r="362" spans="1:7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</row>
    <row r="363" spans="1:7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</row>
    <row r="364" spans="1:7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</row>
    <row r="365" spans="1:7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</row>
    <row r="366" spans="1:7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</row>
    <row r="367" spans="1:7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</row>
    <row r="368" spans="1:7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</row>
    <row r="369" spans="1:7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</row>
    <row r="370" spans="1:7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</row>
    <row r="371" spans="1:7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</row>
    <row r="372" spans="1:7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</row>
    <row r="373" spans="1:7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</row>
    <row r="374" spans="1:7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</row>
    <row r="375" spans="1:7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</row>
    <row r="376" spans="1:7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</row>
    <row r="377" spans="1:7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</row>
    <row r="378" spans="1:7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</row>
    <row r="379" spans="1:7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</row>
    <row r="380" spans="1:7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</row>
    <row r="381" spans="1:7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</row>
    <row r="382" spans="1:7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</row>
    <row r="383" spans="1:7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</row>
    <row r="384" spans="1:7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</row>
    <row r="385" spans="1:7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</row>
    <row r="386" spans="1:7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</row>
    <row r="387" spans="1:7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</row>
    <row r="388" spans="1:7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</row>
    <row r="389" spans="1:7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</row>
    <row r="390" spans="1:7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</row>
    <row r="391" spans="1:7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</row>
    <row r="392" spans="1:7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</row>
    <row r="393" spans="1:7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</row>
    <row r="394" spans="1:7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</row>
    <row r="395" spans="1:7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</row>
    <row r="396" spans="1:7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</row>
    <row r="397" spans="1:7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</row>
    <row r="398" spans="1:7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</row>
    <row r="399" spans="1:7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</row>
    <row r="400" spans="1:7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</row>
    <row r="401" spans="1:7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</row>
    <row r="402" spans="1:7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</row>
    <row r="403" spans="1:7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</row>
    <row r="404" spans="1:7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</row>
    <row r="405" spans="1:7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</row>
    <row r="406" spans="1:7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</row>
    <row r="407" spans="1:7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</row>
    <row r="408" spans="1:7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</row>
    <row r="409" spans="1:7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</row>
    <row r="410" spans="1:7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</row>
    <row r="411" spans="1:7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</row>
    <row r="412" spans="1:7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</row>
    <row r="413" spans="1:7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</row>
    <row r="414" spans="1:7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</row>
    <row r="415" spans="1:7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</row>
    <row r="416" spans="1:7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</row>
    <row r="417" spans="1:7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</row>
    <row r="418" spans="1:7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</row>
    <row r="419" spans="1:7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</row>
    <row r="420" spans="1:7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</row>
    <row r="421" spans="1:7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</row>
    <row r="422" spans="1:7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</row>
    <row r="423" spans="1:7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</row>
    <row r="424" spans="1:7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</row>
    <row r="425" spans="1:7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</row>
    <row r="426" spans="1:7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</row>
    <row r="427" spans="1:7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</row>
    <row r="428" spans="1:7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</row>
    <row r="429" spans="1:7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</row>
    <row r="430" spans="1:7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</row>
    <row r="431" spans="1:7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</row>
    <row r="432" spans="1:7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</row>
    <row r="433" spans="1:7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</row>
    <row r="434" spans="1:7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</row>
    <row r="435" spans="1:7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</row>
    <row r="436" spans="1:7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</row>
    <row r="437" spans="1:7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</row>
    <row r="438" spans="1:7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</row>
    <row r="439" spans="1:7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</row>
    <row r="440" spans="1:7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</row>
    <row r="441" spans="1:7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</row>
    <row r="442" spans="1:7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</row>
    <row r="443" spans="1:7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</row>
    <row r="444" spans="1:7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</row>
    <row r="445" spans="1:7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</row>
    <row r="446" spans="1:7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</row>
    <row r="447" spans="1:7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</row>
    <row r="448" spans="1:7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</row>
    <row r="449" spans="1:7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</row>
    <row r="450" spans="1:7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</row>
    <row r="451" spans="1:7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</row>
    <row r="452" spans="1:7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</row>
    <row r="453" spans="1:7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</row>
    <row r="454" spans="1:7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</row>
    <row r="455" spans="1:7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</row>
    <row r="456" spans="1:7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</row>
    <row r="457" spans="1:7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</row>
    <row r="458" spans="1:7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</row>
    <row r="459" spans="1:7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</row>
    <row r="460" spans="1:7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</row>
    <row r="461" spans="1:7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</row>
    <row r="462" spans="1:7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</row>
    <row r="463" spans="1:7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</row>
    <row r="464" spans="1:7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</row>
    <row r="465" spans="1:7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</row>
    <row r="466" spans="1:7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</row>
    <row r="467" spans="1:7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</row>
    <row r="468" spans="1:7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</row>
    <row r="469" spans="1:7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</row>
    <row r="470" spans="1:7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</row>
    <row r="471" spans="1:7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</row>
    <row r="472" spans="1:7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</row>
    <row r="473" spans="1:7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</row>
    <row r="474" spans="1:7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</row>
    <row r="475" spans="1:7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</row>
    <row r="476" spans="1:7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</row>
    <row r="477" spans="1:7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</row>
    <row r="478" spans="1:7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</row>
    <row r="479" spans="1:7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</row>
    <row r="480" spans="1:7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</row>
    <row r="481" spans="1:7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</row>
    <row r="482" spans="1:7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</row>
    <row r="483" spans="1:7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</row>
    <row r="484" spans="1:7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</row>
    <row r="485" spans="1:7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</row>
    <row r="486" spans="1:7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</row>
    <row r="487" spans="1:7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</row>
    <row r="488" spans="1:7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</row>
    <row r="489" spans="1:7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</row>
    <row r="490" spans="1:7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</row>
    <row r="491" spans="1:7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</row>
    <row r="492" spans="1:7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</row>
    <row r="493" spans="1:7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</row>
    <row r="494" spans="1:7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</row>
    <row r="495" spans="1:7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</row>
    <row r="496" spans="1:7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</row>
    <row r="497" spans="1:7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</row>
    <row r="498" spans="1:7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</row>
    <row r="499" spans="1:7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</row>
    <row r="500" spans="1:7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</row>
    <row r="501" spans="1:7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</row>
  </sheetData>
  <dataValidations count="2">
    <dataValidation type="list" allowBlank="1" showInputMessage="1" showErrorMessage="1" sqref="J2 J8" xr:uid="{DA635413-08AC-478F-A213-9EDB6996F3F1}">
      <formula1>$A$2:$A$501</formula1>
    </dataValidation>
    <dataValidation type="list" allowBlank="1" showInputMessage="1" showErrorMessage="1" sqref="J5" xr:uid="{D7499E58-E7F4-48AA-92BB-9A4180297E04}">
      <formula1>$B$2:$B$501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FC58-2A0A-47D9-ACCC-116AE1EDE1E5}">
  <dimension ref="A1:SG19"/>
  <sheetViews>
    <sheetView tabSelected="1" workbookViewId="0">
      <selection activeCell="G22" sqref="G22"/>
    </sheetView>
  </sheetViews>
  <sheetFormatPr defaultRowHeight="14.4" x14ac:dyDescent="0.3"/>
  <cols>
    <col min="1" max="1" width="15.8867187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9" width="10.33203125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3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10051</v>
      </c>
      <c r="BA1" s="1">
        <v>10052</v>
      </c>
      <c r="BB1" s="1">
        <v>10053</v>
      </c>
      <c r="BC1" s="1">
        <v>10054</v>
      </c>
      <c r="BD1" s="1">
        <v>10055</v>
      </c>
      <c r="BE1" s="1">
        <v>10056</v>
      </c>
      <c r="BF1" s="1">
        <v>10057</v>
      </c>
      <c r="BG1" s="1">
        <v>10058</v>
      </c>
      <c r="BH1" s="1">
        <v>10059</v>
      </c>
      <c r="BI1" s="1">
        <v>10060</v>
      </c>
      <c r="BJ1" s="1">
        <v>10061</v>
      </c>
      <c r="BK1" s="1">
        <v>10062</v>
      </c>
      <c r="BL1" s="1">
        <v>10063</v>
      </c>
      <c r="BM1" s="1">
        <v>10064</v>
      </c>
      <c r="BN1" s="1">
        <v>10065</v>
      </c>
      <c r="BO1" s="1">
        <v>10066</v>
      </c>
      <c r="BP1" s="1">
        <v>10067</v>
      </c>
      <c r="BQ1" s="1">
        <v>10068</v>
      </c>
      <c r="BR1" s="1">
        <v>10069</v>
      </c>
      <c r="BS1" s="1">
        <v>10070</v>
      </c>
      <c r="BT1" s="1">
        <v>10071</v>
      </c>
      <c r="BU1" s="1">
        <v>10072</v>
      </c>
      <c r="BV1" s="1">
        <v>10073</v>
      </c>
      <c r="BW1" s="1">
        <v>10074</v>
      </c>
      <c r="BX1" s="1">
        <v>10075</v>
      </c>
      <c r="BY1" s="1">
        <v>10076</v>
      </c>
      <c r="BZ1" s="1">
        <v>10077</v>
      </c>
      <c r="CA1" s="1">
        <v>10078</v>
      </c>
      <c r="CB1" s="1">
        <v>10079</v>
      </c>
      <c r="CC1" s="1">
        <v>10080</v>
      </c>
      <c r="CD1" s="1">
        <v>10081</v>
      </c>
      <c r="CE1" s="1">
        <v>10082</v>
      </c>
      <c r="CF1" s="1">
        <v>10083</v>
      </c>
      <c r="CG1" s="1">
        <v>10084</v>
      </c>
      <c r="CH1" s="1">
        <v>10085</v>
      </c>
      <c r="CI1" s="1">
        <v>10086</v>
      </c>
      <c r="CJ1" s="1">
        <v>10087</v>
      </c>
      <c r="CK1" s="1">
        <v>10088</v>
      </c>
      <c r="CL1" s="1">
        <v>10089</v>
      </c>
      <c r="CM1" s="1">
        <v>10090</v>
      </c>
      <c r="CN1" s="1">
        <v>10091</v>
      </c>
      <c r="CO1" s="1">
        <v>10092</v>
      </c>
      <c r="CP1" s="1">
        <v>10093</v>
      </c>
      <c r="CQ1" s="1">
        <v>10094</v>
      </c>
      <c r="CR1" s="1">
        <v>10095</v>
      </c>
      <c r="CS1" s="1">
        <v>10096</v>
      </c>
      <c r="CT1" s="1">
        <v>10097</v>
      </c>
      <c r="CU1" s="1">
        <v>10098</v>
      </c>
      <c r="CV1" s="1">
        <v>10099</v>
      </c>
      <c r="CW1" s="1">
        <v>10100</v>
      </c>
      <c r="CX1" s="1">
        <v>10101</v>
      </c>
      <c r="CY1" s="1">
        <v>10102</v>
      </c>
      <c r="CZ1" s="1">
        <v>10103</v>
      </c>
      <c r="DA1" s="1">
        <v>10104</v>
      </c>
      <c r="DB1" s="1">
        <v>10105</v>
      </c>
      <c r="DC1" s="1">
        <v>10106</v>
      </c>
      <c r="DD1" s="1">
        <v>10107</v>
      </c>
      <c r="DE1" s="1">
        <v>10108</v>
      </c>
      <c r="DF1" s="1">
        <v>10109</v>
      </c>
      <c r="DG1" s="1">
        <v>10110</v>
      </c>
      <c r="DH1" s="1">
        <v>10111</v>
      </c>
      <c r="DI1" s="1">
        <v>10112</v>
      </c>
      <c r="DJ1" s="1">
        <v>10113</v>
      </c>
      <c r="DK1" s="1">
        <v>10114</v>
      </c>
      <c r="DL1" s="1">
        <v>10115</v>
      </c>
      <c r="DM1" s="1">
        <v>10116</v>
      </c>
      <c r="DN1" s="1">
        <v>10117</v>
      </c>
      <c r="DO1" s="1">
        <v>10118</v>
      </c>
      <c r="DP1" s="1">
        <v>10119</v>
      </c>
      <c r="DQ1" s="1">
        <v>10120</v>
      </c>
      <c r="DR1" s="1">
        <v>10121</v>
      </c>
      <c r="DS1" s="1">
        <v>10122</v>
      </c>
      <c r="DT1" s="1">
        <v>10123</v>
      </c>
      <c r="DU1" s="1">
        <v>10124</v>
      </c>
      <c r="DV1" s="1">
        <v>10125</v>
      </c>
      <c r="DW1" s="1">
        <v>10126</v>
      </c>
      <c r="DX1" s="1">
        <v>10127</v>
      </c>
      <c r="DY1" s="1">
        <v>10128</v>
      </c>
      <c r="DZ1" s="1">
        <v>10129</v>
      </c>
      <c r="EA1" s="1">
        <v>10130</v>
      </c>
      <c r="EB1" s="1">
        <v>10131</v>
      </c>
      <c r="EC1" s="1">
        <v>10132</v>
      </c>
      <c r="ED1" s="1">
        <v>10133</v>
      </c>
      <c r="EE1" s="1">
        <v>10134</v>
      </c>
      <c r="EF1" s="1">
        <v>10135</v>
      </c>
      <c r="EG1" s="1">
        <v>10136</v>
      </c>
      <c r="EH1" s="1">
        <v>10137</v>
      </c>
      <c r="EI1" s="1">
        <v>10138</v>
      </c>
      <c r="EJ1" s="1">
        <v>10139</v>
      </c>
      <c r="EK1" s="1">
        <v>10140</v>
      </c>
      <c r="EL1" s="1">
        <v>10141</v>
      </c>
      <c r="EM1" s="1">
        <v>10142</v>
      </c>
      <c r="EN1" s="1">
        <v>10143</v>
      </c>
      <c r="EO1" s="1">
        <v>10144</v>
      </c>
      <c r="EP1" s="1">
        <v>10145</v>
      </c>
      <c r="EQ1" s="1">
        <v>10146</v>
      </c>
      <c r="ER1" s="1">
        <v>10147</v>
      </c>
      <c r="ES1" s="1">
        <v>10148</v>
      </c>
      <c r="ET1" s="1">
        <v>10149</v>
      </c>
      <c r="EU1" s="1">
        <v>10150</v>
      </c>
      <c r="EV1" s="1">
        <v>10151</v>
      </c>
      <c r="EW1" s="1">
        <v>10152</v>
      </c>
      <c r="EX1" s="1">
        <v>10153</v>
      </c>
      <c r="EY1" s="1">
        <v>10154</v>
      </c>
      <c r="EZ1" s="1">
        <v>10155</v>
      </c>
      <c r="FA1" s="1">
        <v>10156</v>
      </c>
      <c r="FB1" s="1">
        <v>10157</v>
      </c>
      <c r="FC1" s="1">
        <v>10158</v>
      </c>
      <c r="FD1" s="1">
        <v>10159</v>
      </c>
      <c r="FE1" s="1">
        <v>10160</v>
      </c>
      <c r="FF1" s="1">
        <v>10161</v>
      </c>
      <c r="FG1" s="1">
        <v>10162</v>
      </c>
      <c r="FH1" s="1">
        <v>10163</v>
      </c>
      <c r="FI1" s="1">
        <v>10164</v>
      </c>
      <c r="FJ1" s="1">
        <v>10165</v>
      </c>
      <c r="FK1" s="1">
        <v>10166</v>
      </c>
      <c r="FL1" s="1">
        <v>10167</v>
      </c>
      <c r="FM1" s="1">
        <v>10168</v>
      </c>
      <c r="FN1" s="1">
        <v>10169</v>
      </c>
      <c r="FO1" s="1">
        <v>10170</v>
      </c>
      <c r="FP1" s="1">
        <v>10171</v>
      </c>
      <c r="FQ1" s="1">
        <v>10172</v>
      </c>
      <c r="FR1" s="1">
        <v>10173</v>
      </c>
      <c r="FS1" s="1">
        <v>10174</v>
      </c>
      <c r="FT1" s="1">
        <v>10175</v>
      </c>
      <c r="FU1" s="1">
        <v>10176</v>
      </c>
      <c r="FV1" s="1">
        <v>10177</v>
      </c>
      <c r="FW1" s="1">
        <v>10178</v>
      </c>
      <c r="FX1" s="1">
        <v>10179</v>
      </c>
      <c r="FY1" s="1">
        <v>10180</v>
      </c>
      <c r="FZ1" s="1">
        <v>10181</v>
      </c>
      <c r="GA1" s="1">
        <v>10182</v>
      </c>
      <c r="GB1" s="1">
        <v>10183</v>
      </c>
      <c r="GC1" s="1">
        <v>10184</v>
      </c>
      <c r="GD1" s="1">
        <v>10185</v>
      </c>
      <c r="GE1" s="1">
        <v>10186</v>
      </c>
      <c r="GF1" s="1">
        <v>10187</v>
      </c>
      <c r="GG1" s="1">
        <v>10188</v>
      </c>
      <c r="GH1" s="1">
        <v>10189</v>
      </c>
      <c r="GI1" s="1">
        <v>10190</v>
      </c>
      <c r="GJ1" s="1">
        <v>10191</v>
      </c>
      <c r="GK1" s="1">
        <v>10192</v>
      </c>
      <c r="GL1" s="1">
        <v>10193</v>
      </c>
      <c r="GM1" s="1">
        <v>10194</v>
      </c>
      <c r="GN1" s="1">
        <v>10195</v>
      </c>
      <c r="GO1" s="1">
        <v>10196</v>
      </c>
      <c r="GP1" s="1">
        <v>10197</v>
      </c>
      <c r="GQ1" s="1">
        <v>10198</v>
      </c>
      <c r="GR1" s="1">
        <v>10199</v>
      </c>
      <c r="GS1" s="1">
        <v>10200</v>
      </c>
      <c r="GT1" s="1">
        <v>10201</v>
      </c>
      <c r="GU1" s="1">
        <v>10202</v>
      </c>
      <c r="GV1" s="1">
        <v>10203</v>
      </c>
      <c r="GW1" s="1">
        <v>10204</v>
      </c>
      <c r="GX1" s="1">
        <v>10205</v>
      </c>
      <c r="GY1" s="1">
        <v>10206</v>
      </c>
      <c r="GZ1" s="1">
        <v>10207</v>
      </c>
      <c r="HA1" s="1">
        <v>10208</v>
      </c>
      <c r="HB1" s="1">
        <v>10209</v>
      </c>
      <c r="HC1" s="1">
        <v>10210</v>
      </c>
      <c r="HD1" s="1">
        <v>10211</v>
      </c>
      <c r="HE1" s="1">
        <v>10212</v>
      </c>
      <c r="HF1" s="1">
        <v>10213</v>
      </c>
      <c r="HG1" s="1">
        <v>10214</v>
      </c>
      <c r="HH1" s="1">
        <v>10215</v>
      </c>
      <c r="HI1" s="1">
        <v>10216</v>
      </c>
      <c r="HJ1" s="1">
        <v>10217</v>
      </c>
      <c r="HK1" s="1">
        <v>10218</v>
      </c>
      <c r="HL1" s="1">
        <v>10219</v>
      </c>
      <c r="HM1" s="1">
        <v>10220</v>
      </c>
      <c r="HN1" s="1">
        <v>10221</v>
      </c>
      <c r="HO1" s="1">
        <v>10222</v>
      </c>
      <c r="HP1" s="1">
        <v>10223</v>
      </c>
      <c r="HQ1" s="1">
        <v>10224</v>
      </c>
      <c r="HR1" s="1">
        <v>10225</v>
      </c>
      <c r="HS1" s="1">
        <v>10226</v>
      </c>
      <c r="HT1" s="1">
        <v>10227</v>
      </c>
      <c r="HU1" s="1">
        <v>10228</v>
      </c>
      <c r="HV1" s="1">
        <v>10229</v>
      </c>
      <c r="HW1" s="1">
        <v>10230</v>
      </c>
      <c r="HX1" s="1">
        <v>10231</v>
      </c>
      <c r="HY1" s="1">
        <v>10232</v>
      </c>
      <c r="HZ1" s="1">
        <v>10233</v>
      </c>
      <c r="IA1" s="1">
        <v>10234</v>
      </c>
      <c r="IB1" s="1">
        <v>10235</v>
      </c>
      <c r="IC1" s="1">
        <v>10236</v>
      </c>
      <c r="ID1" s="1">
        <v>10237</v>
      </c>
      <c r="IE1" s="1">
        <v>10238</v>
      </c>
      <c r="IF1" s="1">
        <v>10239</v>
      </c>
      <c r="IG1" s="1">
        <v>10240</v>
      </c>
      <c r="IH1" s="1">
        <v>10241</v>
      </c>
      <c r="II1" s="1">
        <v>10242</v>
      </c>
      <c r="IJ1" s="1">
        <v>10243</v>
      </c>
      <c r="IK1" s="1">
        <v>10244</v>
      </c>
      <c r="IL1" s="1">
        <v>10245</v>
      </c>
      <c r="IM1" s="1">
        <v>10246</v>
      </c>
      <c r="IN1" s="1">
        <v>10247</v>
      </c>
      <c r="IO1" s="1">
        <v>10248</v>
      </c>
      <c r="IP1" s="1">
        <v>10249</v>
      </c>
      <c r="IQ1" s="1">
        <v>10250</v>
      </c>
      <c r="IR1" s="1">
        <v>10251</v>
      </c>
      <c r="IS1" s="1">
        <v>10252</v>
      </c>
      <c r="IT1" s="1">
        <v>10253</v>
      </c>
      <c r="IU1" s="1">
        <v>10254</v>
      </c>
      <c r="IV1" s="1">
        <v>10255</v>
      </c>
      <c r="IW1" s="1">
        <v>10256</v>
      </c>
      <c r="IX1" s="1">
        <v>10257</v>
      </c>
      <c r="IY1" s="1">
        <v>10258</v>
      </c>
      <c r="IZ1" s="1">
        <v>10259</v>
      </c>
      <c r="JA1" s="1">
        <v>10260</v>
      </c>
      <c r="JB1" s="1">
        <v>10261</v>
      </c>
      <c r="JC1" s="1">
        <v>10262</v>
      </c>
      <c r="JD1" s="1">
        <v>10263</v>
      </c>
      <c r="JE1" s="1">
        <v>10264</v>
      </c>
      <c r="JF1" s="1">
        <v>10265</v>
      </c>
      <c r="JG1" s="1">
        <v>10266</v>
      </c>
      <c r="JH1" s="1">
        <v>10267</v>
      </c>
      <c r="JI1" s="1">
        <v>10268</v>
      </c>
      <c r="JJ1" s="1">
        <v>10269</v>
      </c>
      <c r="JK1" s="1">
        <v>10270</v>
      </c>
      <c r="JL1" s="1">
        <v>10271</v>
      </c>
      <c r="JM1" s="1">
        <v>10272</v>
      </c>
      <c r="JN1" s="1">
        <v>10273</v>
      </c>
      <c r="JO1" s="1">
        <v>10274</v>
      </c>
      <c r="JP1" s="1">
        <v>10275</v>
      </c>
      <c r="JQ1" s="1">
        <v>10276</v>
      </c>
      <c r="JR1" s="1">
        <v>10277</v>
      </c>
      <c r="JS1" s="1">
        <v>10278</v>
      </c>
      <c r="JT1" s="1">
        <v>10279</v>
      </c>
      <c r="JU1" s="1">
        <v>10280</v>
      </c>
      <c r="JV1" s="1">
        <v>10281</v>
      </c>
      <c r="JW1" s="1">
        <v>10282</v>
      </c>
      <c r="JX1" s="1">
        <v>10283</v>
      </c>
      <c r="JY1" s="1">
        <v>10284</v>
      </c>
      <c r="JZ1" s="1">
        <v>10285</v>
      </c>
      <c r="KA1" s="1">
        <v>10286</v>
      </c>
      <c r="KB1" s="1">
        <v>10287</v>
      </c>
      <c r="KC1" s="1">
        <v>10288</v>
      </c>
      <c r="KD1" s="1">
        <v>10289</v>
      </c>
      <c r="KE1" s="1">
        <v>10290</v>
      </c>
      <c r="KF1" s="1">
        <v>10291</v>
      </c>
      <c r="KG1" s="1">
        <v>10292</v>
      </c>
      <c r="KH1" s="1">
        <v>10293</v>
      </c>
      <c r="KI1" s="1">
        <v>10294</v>
      </c>
      <c r="KJ1" s="1">
        <v>10295</v>
      </c>
      <c r="KK1" s="1">
        <v>10296</v>
      </c>
      <c r="KL1" s="1">
        <v>10297</v>
      </c>
      <c r="KM1" s="1">
        <v>10298</v>
      </c>
      <c r="KN1" s="1">
        <v>10299</v>
      </c>
      <c r="KO1" s="1">
        <v>10300</v>
      </c>
      <c r="KP1" s="1">
        <v>10301</v>
      </c>
      <c r="KQ1" s="1">
        <v>10302</v>
      </c>
      <c r="KR1" s="1">
        <v>10303</v>
      </c>
      <c r="KS1" s="1">
        <v>10304</v>
      </c>
      <c r="KT1" s="1">
        <v>10305</v>
      </c>
      <c r="KU1" s="1">
        <v>10306</v>
      </c>
      <c r="KV1" s="1">
        <v>10307</v>
      </c>
      <c r="KW1" s="1">
        <v>10308</v>
      </c>
      <c r="KX1" s="1">
        <v>10309</v>
      </c>
      <c r="KY1" s="1">
        <v>10310</v>
      </c>
      <c r="KZ1" s="1">
        <v>10311</v>
      </c>
      <c r="LA1" s="1">
        <v>10312</v>
      </c>
      <c r="LB1" s="1">
        <v>10313</v>
      </c>
      <c r="LC1" s="1">
        <v>10314</v>
      </c>
      <c r="LD1" s="1">
        <v>10315</v>
      </c>
      <c r="LE1" s="1">
        <v>10316</v>
      </c>
      <c r="LF1" s="1">
        <v>10317</v>
      </c>
      <c r="LG1" s="1">
        <v>10318</v>
      </c>
      <c r="LH1" s="1">
        <v>10319</v>
      </c>
      <c r="LI1" s="1">
        <v>10320</v>
      </c>
      <c r="LJ1" s="1">
        <v>10321</v>
      </c>
      <c r="LK1" s="1">
        <v>10322</v>
      </c>
      <c r="LL1" s="1">
        <v>10323</v>
      </c>
      <c r="LM1" s="1">
        <v>10324</v>
      </c>
      <c r="LN1" s="1">
        <v>10325</v>
      </c>
      <c r="LO1" s="1">
        <v>10326</v>
      </c>
      <c r="LP1" s="1">
        <v>10327</v>
      </c>
      <c r="LQ1" s="1">
        <v>10328</v>
      </c>
      <c r="LR1" s="1">
        <v>10329</v>
      </c>
      <c r="LS1" s="1">
        <v>10330</v>
      </c>
      <c r="LT1" s="1">
        <v>10331</v>
      </c>
      <c r="LU1" s="1">
        <v>10332</v>
      </c>
      <c r="LV1" s="1">
        <v>10333</v>
      </c>
      <c r="LW1" s="1">
        <v>10334</v>
      </c>
      <c r="LX1" s="1">
        <v>10335</v>
      </c>
      <c r="LY1" s="1">
        <v>10336</v>
      </c>
      <c r="LZ1" s="1">
        <v>10337</v>
      </c>
      <c r="MA1" s="1">
        <v>10338</v>
      </c>
      <c r="MB1" s="1">
        <v>10339</v>
      </c>
      <c r="MC1" s="1">
        <v>10340</v>
      </c>
      <c r="MD1" s="1">
        <v>10341</v>
      </c>
      <c r="ME1" s="1">
        <v>10342</v>
      </c>
      <c r="MF1" s="1">
        <v>10343</v>
      </c>
      <c r="MG1" s="1">
        <v>10344</v>
      </c>
      <c r="MH1" s="1">
        <v>10345</v>
      </c>
      <c r="MI1" s="1">
        <v>10346</v>
      </c>
      <c r="MJ1" s="1">
        <v>10347</v>
      </c>
      <c r="MK1" s="1">
        <v>10348</v>
      </c>
      <c r="ML1" s="1">
        <v>10349</v>
      </c>
      <c r="MM1" s="1">
        <v>10350</v>
      </c>
      <c r="MN1" s="1">
        <v>10351</v>
      </c>
      <c r="MO1" s="1">
        <v>10352</v>
      </c>
      <c r="MP1" s="1">
        <v>10353</v>
      </c>
      <c r="MQ1" s="1">
        <v>10354</v>
      </c>
      <c r="MR1" s="1">
        <v>10355</v>
      </c>
      <c r="MS1" s="1">
        <v>10356</v>
      </c>
      <c r="MT1" s="1">
        <v>10357</v>
      </c>
      <c r="MU1" s="1">
        <v>10358</v>
      </c>
      <c r="MV1" s="1">
        <v>10359</v>
      </c>
      <c r="MW1" s="1">
        <v>10360</v>
      </c>
      <c r="MX1" s="1">
        <v>10361</v>
      </c>
      <c r="MY1" s="1">
        <v>10362</v>
      </c>
      <c r="MZ1" s="1">
        <v>10363</v>
      </c>
      <c r="NA1" s="1">
        <v>10364</v>
      </c>
      <c r="NB1" s="1">
        <v>10365</v>
      </c>
      <c r="NC1" s="1">
        <v>10366</v>
      </c>
      <c r="ND1" s="1">
        <v>10367</v>
      </c>
      <c r="NE1" s="1">
        <v>10368</v>
      </c>
      <c r="NF1" s="1">
        <v>10369</v>
      </c>
      <c r="NG1" s="1">
        <v>10370</v>
      </c>
      <c r="NH1" s="1">
        <v>10371</v>
      </c>
      <c r="NI1" s="1">
        <v>10372</v>
      </c>
      <c r="NJ1" s="1">
        <v>10373</v>
      </c>
      <c r="NK1" s="1">
        <v>10374</v>
      </c>
      <c r="NL1" s="1">
        <v>10375</v>
      </c>
      <c r="NM1" s="1">
        <v>10376</v>
      </c>
      <c r="NN1" s="1">
        <v>10377</v>
      </c>
      <c r="NO1" s="1">
        <v>10378</v>
      </c>
      <c r="NP1" s="1">
        <v>10379</v>
      </c>
      <c r="NQ1" s="1">
        <v>10380</v>
      </c>
      <c r="NR1" s="1">
        <v>10381</v>
      </c>
      <c r="NS1" s="1">
        <v>10382</v>
      </c>
      <c r="NT1" s="1">
        <v>10383</v>
      </c>
      <c r="NU1" s="1">
        <v>10384</v>
      </c>
      <c r="NV1" s="1">
        <v>10385</v>
      </c>
      <c r="NW1" s="1">
        <v>10386</v>
      </c>
      <c r="NX1" s="1">
        <v>10387</v>
      </c>
      <c r="NY1" s="1">
        <v>10388</v>
      </c>
      <c r="NZ1" s="1">
        <v>10389</v>
      </c>
      <c r="OA1" s="1">
        <v>10390</v>
      </c>
      <c r="OB1" s="1">
        <v>10391</v>
      </c>
      <c r="OC1" s="1">
        <v>10392</v>
      </c>
      <c r="OD1" s="1">
        <v>10393</v>
      </c>
      <c r="OE1" s="1">
        <v>10394</v>
      </c>
      <c r="OF1" s="1">
        <v>10395</v>
      </c>
      <c r="OG1" s="1">
        <v>10396</v>
      </c>
      <c r="OH1" s="1">
        <v>10397</v>
      </c>
      <c r="OI1" s="1">
        <v>10398</v>
      </c>
      <c r="OJ1" s="1">
        <v>10399</v>
      </c>
      <c r="OK1" s="1">
        <v>10400</v>
      </c>
      <c r="OL1" s="1">
        <v>10401</v>
      </c>
      <c r="OM1" s="1">
        <v>10402</v>
      </c>
      <c r="ON1" s="1">
        <v>10403</v>
      </c>
      <c r="OO1" s="1">
        <v>10404</v>
      </c>
      <c r="OP1" s="1">
        <v>10405</v>
      </c>
      <c r="OQ1" s="1">
        <v>10406</v>
      </c>
      <c r="OR1" s="1">
        <v>10407</v>
      </c>
      <c r="OS1" s="1">
        <v>10408</v>
      </c>
      <c r="OT1" s="1">
        <v>10409</v>
      </c>
      <c r="OU1" s="1">
        <v>10410</v>
      </c>
      <c r="OV1" s="1">
        <v>10411</v>
      </c>
      <c r="OW1" s="1">
        <v>10412</v>
      </c>
      <c r="OX1" s="1">
        <v>10413</v>
      </c>
      <c r="OY1" s="1">
        <v>10414</v>
      </c>
      <c r="OZ1" s="1">
        <v>10415</v>
      </c>
      <c r="PA1" s="1">
        <v>10416</v>
      </c>
      <c r="PB1" s="1">
        <v>10417</v>
      </c>
      <c r="PC1" s="1">
        <v>10418</v>
      </c>
      <c r="PD1" s="1">
        <v>10419</v>
      </c>
      <c r="PE1" s="1">
        <v>10420</v>
      </c>
      <c r="PF1" s="1">
        <v>10421</v>
      </c>
      <c r="PG1" s="1">
        <v>10422</v>
      </c>
      <c r="PH1" s="1">
        <v>10423</v>
      </c>
      <c r="PI1" s="1">
        <v>10424</v>
      </c>
      <c r="PJ1" s="1">
        <v>10425</v>
      </c>
      <c r="PK1" s="1">
        <v>10426</v>
      </c>
      <c r="PL1" s="1">
        <v>10427</v>
      </c>
      <c r="PM1" s="1">
        <v>10428</v>
      </c>
      <c r="PN1" s="1">
        <v>10429</v>
      </c>
      <c r="PO1" s="1">
        <v>10430</v>
      </c>
      <c r="PP1" s="1">
        <v>10431</v>
      </c>
      <c r="PQ1" s="1">
        <v>10432</v>
      </c>
      <c r="PR1" s="1">
        <v>10433</v>
      </c>
      <c r="PS1" s="1">
        <v>10434</v>
      </c>
      <c r="PT1" s="1">
        <v>10435</v>
      </c>
      <c r="PU1" s="1">
        <v>10436</v>
      </c>
      <c r="PV1" s="1">
        <v>10437</v>
      </c>
      <c r="PW1" s="1">
        <v>10438</v>
      </c>
      <c r="PX1" s="1">
        <v>10439</v>
      </c>
      <c r="PY1" s="1">
        <v>10440</v>
      </c>
      <c r="PZ1" s="1">
        <v>10441</v>
      </c>
      <c r="QA1" s="1">
        <v>10442</v>
      </c>
      <c r="QB1" s="1">
        <v>10443</v>
      </c>
      <c r="QC1" s="1">
        <v>10444</v>
      </c>
      <c r="QD1" s="1">
        <v>10445</v>
      </c>
      <c r="QE1" s="1">
        <v>10446</v>
      </c>
      <c r="QF1" s="1">
        <v>10447</v>
      </c>
      <c r="QG1" s="1">
        <v>10448</v>
      </c>
      <c r="QH1" s="1">
        <v>10449</v>
      </c>
      <c r="QI1" s="1">
        <v>10450</v>
      </c>
      <c r="QJ1" s="1">
        <v>10451</v>
      </c>
      <c r="QK1" s="1">
        <v>10452</v>
      </c>
      <c r="QL1" s="1">
        <v>10453</v>
      </c>
      <c r="QM1" s="1">
        <v>10454</v>
      </c>
      <c r="QN1" s="1">
        <v>10455</v>
      </c>
      <c r="QO1" s="1">
        <v>10456</v>
      </c>
      <c r="QP1" s="1">
        <v>10457</v>
      </c>
      <c r="QQ1" s="1">
        <v>10458</v>
      </c>
      <c r="QR1" s="1">
        <v>10459</v>
      </c>
      <c r="QS1" s="1">
        <v>10460</v>
      </c>
      <c r="QT1" s="1">
        <v>10461</v>
      </c>
      <c r="QU1" s="1">
        <v>10462</v>
      </c>
      <c r="QV1" s="1">
        <v>10463</v>
      </c>
      <c r="QW1" s="1">
        <v>10464</v>
      </c>
      <c r="QX1" s="1">
        <v>10465</v>
      </c>
      <c r="QY1" s="1">
        <v>10466</v>
      </c>
      <c r="QZ1" s="1">
        <v>10467</v>
      </c>
      <c r="RA1" s="1">
        <v>10468</v>
      </c>
      <c r="RB1" s="1">
        <v>10469</v>
      </c>
      <c r="RC1" s="1">
        <v>10470</v>
      </c>
      <c r="RD1" s="1">
        <v>10471</v>
      </c>
      <c r="RE1" s="1">
        <v>10472</v>
      </c>
      <c r="RF1" s="1">
        <v>10473</v>
      </c>
      <c r="RG1" s="1">
        <v>10474</v>
      </c>
      <c r="RH1" s="1">
        <v>10475</v>
      </c>
      <c r="RI1" s="1">
        <v>10476</v>
      </c>
      <c r="RJ1" s="1">
        <v>10477</v>
      </c>
      <c r="RK1" s="1">
        <v>10478</v>
      </c>
      <c r="RL1" s="1">
        <v>10479</v>
      </c>
      <c r="RM1" s="1">
        <v>10480</v>
      </c>
      <c r="RN1" s="1">
        <v>10481</v>
      </c>
      <c r="RO1" s="1">
        <v>10482</v>
      </c>
      <c r="RP1" s="1">
        <v>10483</v>
      </c>
      <c r="RQ1" s="1">
        <v>10484</v>
      </c>
      <c r="RR1" s="1">
        <v>10485</v>
      </c>
      <c r="RS1" s="1">
        <v>10486</v>
      </c>
      <c r="RT1" s="1">
        <v>10487</v>
      </c>
      <c r="RU1" s="1">
        <v>10488</v>
      </c>
      <c r="RV1" s="1">
        <v>10489</v>
      </c>
      <c r="RW1" s="1">
        <v>10490</v>
      </c>
      <c r="RX1" s="1">
        <v>10491</v>
      </c>
      <c r="RY1" s="1">
        <v>10492</v>
      </c>
      <c r="RZ1" s="1">
        <v>10493</v>
      </c>
      <c r="SA1" s="1">
        <v>10494</v>
      </c>
      <c r="SB1" s="1">
        <v>10495</v>
      </c>
      <c r="SC1" s="1">
        <v>10496</v>
      </c>
      <c r="SD1" s="1">
        <v>10497</v>
      </c>
      <c r="SE1" s="1">
        <v>10498</v>
      </c>
      <c r="SF1" s="1">
        <v>10499</v>
      </c>
      <c r="SG1" s="1">
        <v>10500</v>
      </c>
    </row>
    <row r="2" spans="1:501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1957</v>
      </c>
      <c r="BA2" s="1">
        <v>1562</v>
      </c>
      <c r="BB2" s="1">
        <v>1875</v>
      </c>
      <c r="BC2" s="1">
        <v>1566</v>
      </c>
      <c r="BD2" s="1">
        <v>1243</v>
      </c>
      <c r="BE2" s="1">
        <v>1831</v>
      </c>
      <c r="BF2" s="1">
        <v>1504</v>
      </c>
      <c r="BG2" s="1">
        <v>1130</v>
      </c>
      <c r="BH2" s="1">
        <v>1484</v>
      </c>
      <c r="BI2" s="1">
        <v>1818</v>
      </c>
      <c r="BJ2" s="1">
        <v>1646</v>
      </c>
      <c r="BK2" s="1">
        <v>1020</v>
      </c>
      <c r="BL2" s="1">
        <v>1840</v>
      </c>
      <c r="BM2" s="1">
        <v>1166</v>
      </c>
      <c r="BN2" s="1">
        <v>1273</v>
      </c>
      <c r="BO2" s="1">
        <v>1387</v>
      </c>
      <c r="BP2" s="1">
        <v>1600</v>
      </c>
      <c r="BQ2" s="1">
        <v>1315</v>
      </c>
      <c r="BR2" s="1">
        <v>1013</v>
      </c>
      <c r="BS2" s="1">
        <v>1241</v>
      </c>
      <c r="BT2" s="1">
        <v>1776</v>
      </c>
      <c r="BU2" s="1">
        <v>1345</v>
      </c>
      <c r="BV2" s="1">
        <v>1564</v>
      </c>
      <c r="BW2" s="1">
        <v>1897</v>
      </c>
      <c r="BX2" s="1">
        <v>1339</v>
      </c>
      <c r="BY2" s="1">
        <v>1091</v>
      </c>
      <c r="BZ2" s="1">
        <v>1366</v>
      </c>
      <c r="CA2" s="1">
        <v>1955</v>
      </c>
      <c r="CB2" s="1">
        <v>1454</v>
      </c>
      <c r="CC2" s="1">
        <v>1427</v>
      </c>
      <c r="CD2" s="1">
        <v>1508</v>
      </c>
      <c r="CE2" s="1">
        <v>1775</v>
      </c>
      <c r="CF2" s="1">
        <v>1942</v>
      </c>
      <c r="CG2" s="1">
        <v>1034</v>
      </c>
      <c r="CH2" s="1">
        <v>1205</v>
      </c>
      <c r="CI2" s="1">
        <v>1080</v>
      </c>
      <c r="CJ2" s="1">
        <v>1931</v>
      </c>
      <c r="CK2" s="1">
        <v>1561</v>
      </c>
      <c r="CL2" s="1">
        <v>1871</v>
      </c>
      <c r="CM2" s="1">
        <v>1387</v>
      </c>
      <c r="CN2" s="1">
        <v>1001</v>
      </c>
      <c r="CO2" s="1">
        <v>1389</v>
      </c>
      <c r="CP2" s="1">
        <v>1565</v>
      </c>
      <c r="CQ2" s="1">
        <v>1105</v>
      </c>
      <c r="CR2" s="1">
        <v>1771</v>
      </c>
      <c r="CS2" s="1">
        <v>1821</v>
      </c>
      <c r="CT2" s="1">
        <v>1476</v>
      </c>
      <c r="CU2" s="1">
        <v>1702</v>
      </c>
      <c r="CV2" s="1">
        <v>1401</v>
      </c>
      <c r="CW2" s="1">
        <v>1729</v>
      </c>
      <c r="CX2" s="1">
        <v>1555</v>
      </c>
      <c r="CY2" s="1">
        <v>1161</v>
      </c>
      <c r="CZ2" s="1">
        <v>1201</v>
      </c>
      <c r="DA2" s="1">
        <v>1957</v>
      </c>
      <c r="DB2" s="1">
        <v>1995</v>
      </c>
      <c r="DC2" s="1">
        <v>1269</v>
      </c>
      <c r="DD2" s="1">
        <v>1862</v>
      </c>
      <c r="DE2" s="1">
        <v>1815</v>
      </c>
      <c r="DF2" s="1">
        <v>1270</v>
      </c>
      <c r="DG2" s="1">
        <v>1455</v>
      </c>
      <c r="DH2" s="1">
        <v>1461</v>
      </c>
      <c r="DI2" s="1">
        <v>1726</v>
      </c>
      <c r="DJ2" s="1">
        <v>1251</v>
      </c>
      <c r="DK2" s="1">
        <v>1701</v>
      </c>
      <c r="DL2" s="1">
        <v>1295</v>
      </c>
      <c r="DM2" s="1">
        <v>1724</v>
      </c>
      <c r="DN2" s="1">
        <v>1719</v>
      </c>
      <c r="DO2" s="1">
        <v>1748</v>
      </c>
      <c r="DP2" s="1">
        <v>1337</v>
      </c>
      <c r="DQ2" s="1">
        <v>1878</v>
      </c>
      <c r="DR2" s="1">
        <v>1052</v>
      </c>
      <c r="DS2" s="1">
        <v>1791</v>
      </c>
      <c r="DT2" s="1">
        <v>1921</v>
      </c>
      <c r="DU2" s="1">
        <v>1216</v>
      </c>
      <c r="DV2" s="1">
        <v>1763</v>
      </c>
      <c r="DW2" s="1">
        <v>1187</v>
      </c>
      <c r="DX2" s="1">
        <v>1379</v>
      </c>
      <c r="DY2" s="1">
        <v>1492</v>
      </c>
      <c r="DZ2" s="1">
        <v>1040</v>
      </c>
      <c r="EA2" s="1">
        <v>1156</v>
      </c>
      <c r="EB2" s="1">
        <v>1014</v>
      </c>
      <c r="EC2" s="1">
        <v>1812</v>
      </c>
      <c r="ED2" s="1">
        <v>1064</v>
      </c>
      <c r="EE2" s="1">
        <v>1856</v>
      </c>
      <c r="EF2" s="1">
        <v>1838</v>
      </c>
      <c r="EG2" s="1">
        <v>1520</v>
      </c>
      <c r="EH2" s="1">
        <v>1343</v>
      </c>
      <c r="EI2" s="1">
        <v>1128</v>
      </c>
      <c r="EJ2" s="1">
        <v>1647</v>
      </c>
      <c r="EK2" s="1">
        <v>1471</v>
      </c>
      <c r="EL2" s="1">
        <v>1062</v>
      </c>
      <c r="EM2" s="1">
        <v>1138</v>
      </c>
      <c r="EN2" s="1">
        <v>1498</v>
      </c>
      <c r="EO2" s="1">
        <v>1592</v>
      </c>
      <c r="EP2" s="1">
        <v>1391</v>
      </c>
      <c r="EQ2" s="1">
        <v>1674</v>
      </c>
      <c r="ER2" s="1">
        <v>1418</v>
      </c>
      <c r="ES2" s="1">
        <v>1288</v>
      </c>
      <c r="ET2" s="1">
        <v>1378</v>
      </c>
      <c r="EU2" s="1">
        <v>1772</v>
      </c>
      <c r="EV2" s="1">
        <v>1489</v>
      </c>
      <c r="EW2" s="1">
        <v>1230</v>
      </c>
      <c r="EX2" s="1">
        <v>1040</v>
      </c>
      <c r="EY2" s="1">
        <v>1027</v>
      </c>
      <c r="EZ2" s="1">
        <v>1134</v>
      </c>
      <c r="FA2" s="1">
        <v>1200</v>
      </c>
      <c r="FB2" s="1">
        <v>1839</v>
      </c>
      <c r="FC2" s="1">
        <v>1779</v>
      </c>
      <c r="FD2" s="1">
        <v>1929</v>
      </c>
      <c r="FE2" s="1">
        <v>1032</v>
      </c>
      <c r="FF2" s="1">
        <v>1047</v>
      </c>
      <c r="FG2" s="1">
        <v>1502</v>
      </c>
      <c r="FH2" s="1">
        <v>1406</v>
      </c>
      <c r="FI2" s="1">
        <v>1573</v>
      </c>
      <c r="FJ2" s="1">
        <v>1727</v>
      </c>
      <c r="FK2" s="1">
        <v>1804</v>
      </c>
      <c r="FL2" s="1">
        <v>1098</v>
      </c>
      <c r="FM2" s="1">
        <v>1683</v>
      </c>
      <c r="FN2" s="1">
        <v>1871</v>
      </c>
      <c r="FO2" s="1">
        <v>1725</v>
      </c>
      <c r="FP2" s="1">
        <v>1986</v>
      </c>
      <c r="FQ2" s="1">
        <v>1546</v>
      </c>
      <c r="FR2" s="1">
        <v>1960</v>
      </c>
      <c r="FS2" s="1">
        <v>1738</v>
      </c>
      <c r="FT2" s="1">
        <v>1612</v>
      </c>
      <c r="FU2" s="1">
        <v>1942</v>
      </c>
      <c r="FV2" s="1">
        <v>1461</v>
      </c>
      <c r="FW2" s="1">
        <v>1642</v>
      </c>
      <c r="FX2" s="1">
        <v>1768</v>
      </c>
      <c r="FY2" s="1">
        <v>1004</v>
      </c>
      <c r="FZ2" s="1">
        <v>1217</v>
      </c>
      <c r="GA2" s="1">
        <v>1502</v>
      </c>
      <c r="GB2" s="1">
        <v>1766</v>
      </c>
      <c r="GC2" s="1">
        <v>1397</v>
      </c>
      <c r="GD2" s="1">
        <v>1870</v>
      </c>
      <c r="GE2" s="1">
        <v>1794</v>
      </c>
      <c r="GF2" s="1">
        <v>1392</v>
      </c>
      <c r="GG2" s="1">
        <v>1206</v>
      </c>
      <c r="GH2" s="1">
        <v>1014</v>
      </c>
      <c r="GI2" s="1">
        <v>1857</v>
      </c>
      <c r="GJ2" s="1">
        <v>1553</v>
      </c>
      <c r="GK2" s="1">
        <v>1891</v>
      </c>
      <c r="GL2" s="1">
        <v>1460</v>
      </c>
      <c r="GM2" s="1">
        <v>1690</v>
      </c>
      <c r="GN2" s="1">
        <v>1574</v>
      </c>
      <c r="GO2" s="1">
        <v>1863</v>
      </c>
      <c r="GP2" s="1">
        <v>1742</v>
      </c>
      <c r="GQ2" s="1">
        <v>1240</v>
      </c>
      <c r="GR2" s="1">
        <v>1563</v>
      </c>
      <c r="GS2" s="1">
        <v>1095</v>
      </c>
      <c r="GT2" s="1">
        <v>1899</v>
      </c>
      <c r="GU2" s="1">
        <v>1733</v>
      </c>
      <c r="GV2" s="1">
        <v>1484</v>
      </c>
      <c r="GW2" s="1">
        <v>1406</v>
      </c>
      <c r="GX2" s="1">
        <v>1230</v>
      </c>
      <c r="GY2" s="1">
        <v>1748</v>
      </c>
      <c r="GZ2" s="1">
        <v>1654</v>
      </c>
      <c r="HA2" s="1">
        <v>1170</v>
      </c>
      <c r="HB2" s="1">
        <v>1540</v>
      </c>
      <c r="HC2" s="1">
        <v>1035</v>
      </c>
      <c r="HD2" s="1">
        <v>1524</v>
      </c>
      <c r="HE2" s="1">
        <v>1159</v>
      </c>
      <c r="HF2" s="1">
        <v>1838</v>
      </c>
      <c r="HG2" s="1">
        <v>1698</v>
      </c>
      <c r="HH2" s="1">
        <v>1242</v>
      </c>
      <c r="HI2" s="1">
        <v>1085</v>
      </c>
      <c r="HJ2" s="1">
        <v>1795</v>
      </c>
      <c r="HK2" s="1">
        <v>1577</v>
      </c>
      <c r="HL2" s="1">
        <v>1681</v>
      </c>
      <c r="HM2" s="1">
        <v>1556</v>
      </c>
      <c r="HN2" s="1">
        <v>1573</v>
      </c>
      <c r="HO2" s="1">
        <v>1952</v>
      </c>
      <c r="HP2" s="1">
        <v>1645</v>
      </c>
      <c r="HQ2" s="1">
        <v>1795</v>
      </c>
      <c r="HR2" s="1">
        <v>1027</v>
      </c>
      <c r="HS2" s="1">
        <v>1619</v>
      </c>
      <c r="HT2" s="1">
        <v>1555</v>
      </c>
      <c r="HU2" s="1">
        <v>1339</v>
      </c>
      <c r="HV2" s="1">
        <v>1797</v>
      </c>
      <c r="HW2" s="1">
        <v>1957</v>
      </c>
      <c r="HX2" s="1">
        <v>1330</v>
      </c>
      <c r="HY2" s="1">
        <v>1639</v>
      </c>
      <c r="HZ2" s="1">
        <v>1505</v>
      </c>
      <c r="IA2" s="1">
        <v>1347</v>
      </c>
      <c r="IB2" s="1">
        <v>1472</v>
      </c>
      <c r="IC2" s="1">
        <v>1230</v>
      </c>
      <c r="ID2" s="1">
        <v>1189</v>
      </c>
      <c r="IE2" s="1">
        <v>1224</v>
      </c>
      <c r="IF2" s="1">
        <v>1384</v>
      </c>
      <c r="IG2" s="1">
        <v>1376</v>
      </c>
      <c r="IH2" s="1">
        <v>1282</v>
      </c>
      <c r="II2" s="1">
        <v>1957</v>
      </c>
      <c r="IJ2" s="1">
        <v>1632</v>
      </c>
      <c r="IK2" s="1">
        <v>1627</v>
      </c>
      <c r="IL2" s="1">
        <v>1972</v>
      </c>
      <c r="IM2" s="1">
        <v>1744</v>
      </c>
      <c r="IN2" s="1">
        <v>1258</v>
      </c>
      <c r="IO2" s="1">
        <v>1358</v>
      </c>
      <c r="IP2" s="1">
        <v>1709</v>
      </c>
      <c r="IQ2" s="1">
        <v>1455</v>
      </c>
      <c r="IR2" s="1">
        <v>1410</v>
      </c>
      <c r="IS2" s="1">
        <v>1648</v>
      </c>
      <c r="IT2" s="1">
        <v>1317</v>
      </c>
      <c r="IU2" s="1">
        <v>1676</v>
      </c>
      <c r="IV2" s="1">
        <v>1224</v>
      </c>
      <c r="IW2" s="1">
        <v>1818</v>
      </c>
      <c r="IX2" s="1">
        <v>1233</v>
      </c>
      <c r="IY2" s="1">
        <v>1683</v>
      </c>
      <c r="IZ2" s="1">
        <v>1663</v>
      </c>
      <c r="JA2" s="1">
        <v>1974</v>
      </c>
      <c r="JB2" s="1">
        <v>1826</v>
      </c>
      <c r="JC2" s="1">
        <v>1373</v>
      </c>
      <c r="JD2" s="1">
        <v>1671</v>
      </c>
      <c r="JE2" s="1">
        <v>1607</v>
      </c>
      <c r="JF2" s="1">
        <v>1471</v>
      </c>
      <c r="JG2" s="1">
        <v>1232</v>
      </c>
      <c r="JH2" s="1">
        <v>1691</v>
      </c>
      <c r="JI2" s="1">
        <v>1112</v>
      </c>
      <c r="JJ2" s="1">
        <v>1829</v>
      </c>
      <c r="JK2" s="1">
        <v>1496</v>
      </c>
      <c r="JL2" s="1">
        <v>1441</v>
      </c>
      <c r="JM2" s="1">
        <v>1563</v>
      </c>
      <c r="JN2" s="1">
        <v>1267</v>
      </c>
      <c r="JO2" s="1">
        <v>1509</v>
      </c>
      <c r="JP2" s="1">
        <v>1806</v>
      </c>
      <c r="JQ2" s="1">
        <v>1385</v>
      </c>
      <c r="JR2" s="1">
        <v>1386</v>
      </c>
      <c r="JS2" s="1">
        <v>1112</v>
      </c>
      <c r="JT2" s="1">
        <v>1612</v>
      </c>
      <c r="JU2" s="1">
        <v>1624</v>
      </c>
      <c r="JV2" s="1">
        <v>1951</v>
      </c>
      <c r="JW2" s="1">
        <v>1080</v>
      </c>
      <c r="JX2" s="1">
        <v>1698</v>
      </c>
      <c r="JY2" s="1">
        <v>1112</v>
      </c>
      <c r="JZ2" s="1">
        <v>1001</v>
      </c>
      <c r="KA2" s="1">
        <v>1641</v>
      </c>
      <c r="KB2" s="1">
        <v>1219</v>
      </c>
      <c r="KC2" s="1">
        <v>1565</v>
      </c>
      <c r="KD2" s="1">
        <v>1854</v>
      </c>
      <c r="KE2" s="1">
        <v>1996</v>
      </c>
      <c r="KF2" s="1">
        <v>1735</v>
      </c>
      <c r="KG2" s="1">
        <v>1224</v>
      </c>
      <c r="KH2" s="1">
        <v>1384</v>
      </c>
      <c r="KI2" s="1">
        <v>1402</v>
      </c>
      <c r="KJ2" s="1">
        <v>1637</v>
      </c>
      <c r="KK2" s="1">
        <v>1129</v>
      </c>
      <c r="KL2" s="1">
        <v>1052</v>
      </c>
      <c r="KM2" s="1">
        <v>1683</v>
      </c>
      <c r="KN2" s="1">
        <v>1729</v>
      </c>
      <c r="KO2" s="1">
        <v>1671</v>
      </c>
      <c r="KP2" s="1">
        <v>1709</v>
      </c>
      <c r="KQ2" s="1">
        <v>1415</v>
      </c>
      <c r="KR2" s="1">
        <v>1246</v>
      </c>
      <c r="KS2" s="1">
        <v>1835</v>
      </c>
      <c r="KT2" s="1">
        <v>1438</v>
      </c>
      <c r="KU2" s="1">
        <v>1202</v>
      </c>
      <c r="KV2" s="1">
        <v>1183</v>
      </c>
      <c r="KW2" s="1">
        <v>1122</v>
      </c>
      <c r="KX2" s="1">
        <v>1400</v>
      </c>
      <c r="KY2" s="1">
        <v>1766</v>
      </c>
      <c r="KZ2" s="1">
        <v>1293</v>
      </c>
      <c r="LA2" s="1">
        <v>1279</v>
      </c>
      <c r="LB2" s="1">
        <v>1836</v>
      </c>
      <c r="LC2" s="1">
        <v>1883</v>
      </c>
      <c r="LD2" s="1">
        <v>1609</v>
      </c>
      <c r="LE2" s="1">
        <v>1197</v>
      </c>
      <c r="LF2" s="1">
        <v>1981</v>
      </c>
      <c r="LG2" s="1">
        <v>1906</v>
      </c>
      <c r="LH2" s="1">
        <v>1510</v>
      </c>
      <c r="LI2" s="1">
        <v>1751</v>
      </c>
      <c r="LJ2" s="1">
        <v>1143</v>
      </c>
      <c r="LK2" s="1">
        <v>1608</v>
      </c>
      <c r="LL2" s="1">
        <v>1200</v>
      </c>
      <c r="LM2" s="1">
        <v>1123</v>
      </c>
      <c r="LN2" s="1">
        <v>1186</v>
      </c>
      <c r="LO2" s="1">
        <v>1325</v>
      </c>
      <c r="LP2" s="1">
        <v>1463</v>
      </c>
      <c r="LQ2" s="1">
        <v>1348</v>
      </c>
      <c r="LR2" s="1">
        <v>1770</v>
      </c>
      <c r="LS2" s="1">
        <v>1659</v>
      </c>
      <c r="LT2" s="1">
        <v>1763</v>
      </c>
      <c r="LU2" s="1">
        <v>1954</v>
      </c>
      <c r="LV2" s="1">
        <v>1931</v>
      </c>
      <c r="LW2" s="1">
        <v>1402</v>
      </c>
      <c r="LX2" s="1">
        <v>1345</v>
      </c>
      <c r="LY2" s="1">
        <v>1962</v>
      </c>
      <c r="LZ2" s="1">
        <v>1510</v>
      </c>
      <c r="MA2" s="1">
        <v>1146</v>
      </c>
      <c r="MB2" s="1">
        <v>1147</v>
      </c>
      <c r="MC2" s="1">
        <v>1863</v>
      </c>
      <c r="MD2" s="1">
        <v>1710</v>
      </c>
      <c r="ME2" s="1">
        <v>1819</v>
      </c>
      <c r="MF2" s="1">
        <v>1488</v>
      </c>
      <c r="MG2" s="1">
        <v>1928</v>
      </c>
      <c r="MH2" s="1">
        <v>1935</v>
      </c>
      <c r="MI2" s="1">
        <v>1639</v>
      </c>
      <c r="MJ2" s="1">
        <v>1550</v>
      </c>
      <c r="MK2" s="1">
        <v>1337</v>
      </c>
      <c r="ML2" s="1">
        <v>1871</v>
      </c>
      <c r="MM2" s="1">
        <v>1640</v>
      </c>
      <c r="MN2" s="1">
        <v>1778</v>
      </c>
      <c r="MO2" s="1">
        <v>1987</v>
      </c>
      <c r="MP2" s="1">
        <v>1952</v>
      </c>
      <c r="MQ2" s="1">
        <v>1472</v>
      </c>
      <c r="MR2" s="1">
        <v>1945</v>
      </c>
      <c r="MS2" s="1">
        <v>1150</v>
      </c>
      <c r="MT2" s="1">
        <v>1414</v>
      </c>
      <c r="MU2" s="1">
        <v>1989</v>
      </c>
      <c r="MV2" s="1">
        <v>1297</v>
      </c>
      <c r="MW2" s="1">
        <v>1610</v>
      </c>
      <c r="MX2" s="1">
        <v>1262</v>
      </c>
      <c r="MY2" s="1">
        <v>1763</v>
      </c>
      <c r="MZ2" s="1">
        <v>1143</v>
      </c>
      <c r="NA2" s="1">
        <v>1345</v>
      </c>
      <c r="NB2" s="1">
        <v>1623</v>
      </c>
      <c r="NC2" s="1">
        <v>1571</v>
      </c>
      <c r="ND2" s="1">
        <v>1880</v>
      </c>
      <c r="NE2" s="1">
        <v>1001</v>
      </c>
      <c r="NF2" s="1">
        <v>1896</v>
      </c>
      <c r="NG2" s="1">
        <v>1303</v>
      </c>
      <c r="NH2" s="1">
        <v>1253</v>
      </c>
      <c r="NI2" s="1">
        <v>1651</v>
      </c>
      <c r="NJ2" s="1">
        <v>1452</v>
      </c>
      <c r="NK2" s="1">
        <v>1036</v>
      </c>
      <c r="NL2" s="1">
        <v>1159</v>
      </c>
      <c r="NM2" s="1">
        <v>1008</v>
      </c>
      <c r="NN2" s="1">
        <v>1232</v>
      </c>
      <c r="NO2" s="1">
        <v>1098</v>
      </c>
      <c r="NP2" s="1">
        <v>1658</v>
      </c>
      <c r="NQ2" s="1">
        <v>1815</v>
      </c>
      <c r="NR2" s="1">
        <v>1207</v>
      </c>
      <c r="NS2" s="1">
        <v>1130</v>
      </c>
      <c r="NT2" s="1">
        <v>1403</v>
      </c>
      <c r="NU2" s="1">
        <v>1151</v>
      </c>
      <c r="NV2" s="1">
        <v>1053</v>
      </c>
      <c r="NW2" s="1">
        <v>1119</v>
      </c>
      <c r="NX2" s="1">
        <v>1672</v>
      </c>
      <c r="NY2" s="1">
        <v>1919</v>
      </c>
      <c r="NZ2" s="1">
        <v>1627</v>
      </c>
      <c r="OA2" s="1">
        <v>1586</v>
      </c>
      <c r="OB2" s="1">
        <v>1624</v>
      </c>
      <c r="OC2" s="1">
        <v>1967</v>
      </c>
      <c r="OD2" s="1">
        <v>1419</v>
      </c>
      <c r="OE2" s="1">
        <v>1421</v>
      </c>
      <c r="OF2" s="1">
        <v>1103</v>
      </c>
      <c r="OG2" s="1">
        <v>1851</v>
      </c>
      <c r="OH2" s="1">
        <v>1253</v>
      </c>
      <c r="OI2" s="1">
        <v>1226</v>
      </c>
      <c r="OJ2" s="1">
        <v>1111</v>
      </c>
      <c r="OK2" s="1">
        <v>1509</v>
      </c>
      <c r="OL2" s="1">
        <v>1472</v>
      </c>
      <c r="OM2" s="1">
        <v>1098</v>
      </c>
      <c r="ON2" s="1">
        <v>1152</v>
      </c>
      <c r="OO2" s="1">
        <v>1860</v>
      </c>
      <c r="OP2" s="1">
        <v>1913</v>
      </c>
      <c r="OQ2" s="1">
        <v>1895</v>
      </c>
      <c r="OR2" s="1">
        <v>1877</v>
      </c>
      <c r="OS2" s="1">
        <v>1337</v>
      </c>
      <c r="OT2" s="1">
        <v>1705</v>
      </c>
      <c r="OU2" s="1">
        <v>1821</v>
      </c>
      <c r="OV2" s="1">
        <v>1162</v>
      </c>
      <c r="OW2" s="1">
        <v>1719</v>
      </c>
      <c r="OX2" s="1">
        <v>1956</v>
      </c>
      <c r="OY2" s="1">
        <v>1680</v>
      </c>
      <c r="OZ2" s="1">
        <v>1995</v>
      </c>
      <c r="PA2" s="1">
        <v>1160</v>
      </c>
      <c r="PB2" s="1">
        <v>1579</v>
      </c>
      <c r="PC2" s="1">
        <v>1800</v>
      </c>
      <c r="PD2" s="1">
        <v>1397</v>
      </c>
      <c r="PE2" s="1">
        <v>1276</v>
      </c>
      <c r="PF2" s="1">
        <v>1815</v>
      </c>
      <c r="PG2" s="1">
        <v>1915</v>
      </c>
      <c r="PH2" s="1">
        <v>1503</v>
      </c>
      <c r="PI2" s="1">
        <v>1895</v>
      </c>
      <c r="PJ2" s="1">
        <v>1391</v>
      </c>
      <c r="PK2" s="1">
        <v>1134</v>
      </c>
      <c r="PL2" s="1">
        <v>1194</v>
      </c>
      <c r="PM2" s="1">
        <v>1400</v>
      </c>
      <c r="PN2" s="1">
        <v>1639</v>
      </c>
      <c r="PO2" s="1">
        <v>1032</v>
      </c>
      <c r="PP2" s="1">
        <v>1687</v>
      </c>
      <c r="PQ2" s="1">
        <v>1459</v>
      </c>
      <c r="PR2" s="1">
        <v>1954</v>
      </c>
      <c r="PS2" s="1">
        <v>1882</v>
      </c>
      <c r="PT2" s="1">
        <v>1469</v>
      </c>
      <c r="PU2" s="1">
        <v>1374</v>
      </c>
      <c r="PV2" s="1">
        <v>1021</v>
      </c>
      <c r="PW2" s="1">
        <v>1749</v>
      </c>
      <c r="PX2" s="1">
        <v>1669</v>
      </c>
      <c r="PY2" s="1">
        <v>1037</v>
      </c>
      <c r="PZ2" s="1">
        <v>1229</v>
      </c>
      <c r="QA2" s="1">
        <v>1364</v>
      </c>
      <c r="QB2" s="1">
        <v>1562</v>
      </c>
      <c r="QC2" s="1">
        <v>1437</v>
      </c>
      <c r="QD2" s="1">
        <v>1775</v>
      </c>
      <c r="QE2" s="1">
        <v>1282</v>
      </c>
      <c r="QF2" s="1">
        <v>1026</v>
      </c>
      <c r="QG2" s="1">
        <v>1225</v>
      </c>
      <c r="QH2" s="1">
        <v>1276</v>
      </c>
      <c r="QI2" s="1">
        <v>1797</v>
      </c>
      <c r="QJ2" s="1">
        <v>1608</v>
      </c>
      <c r="QK2" s="1">
        <v>1283</v>
      </c>
      <c r="QL2" s="1">
        <v>1878</v>
      </c>
      <c r="QM2" s="1">
        <v>1959</v>
      </c>
      <c r="QN2" s="1">
        <v>1480</v>
      </c>
      <c r="QO2" s="1">
        <v>1452</v>
      </c>
      <c r="QP2" s="1">
        <v>1828</v>
      </c>
      <c r="QQ2" s="1">
        <v>1815</v>
      </c>
      <c r="QR2" s="1">
        <v>1658</v>
      </c>
      <c r="QS2" s="1">
        <v>1515</v>
      </c>
      <c r="QT2" s="1">
        <v>1546</v>
      </c>
      <c r="QU2" s="1">
        <v>1191</v>
      </c>
      <c r="QV2" s="1">
        <v>1048</v>
      </c>
      <c r="QW2" s="1">
        <v>1511</v>
      </c>
      <c r="QX2" s="1">
        <v>1016</v>
      </c>
      <c r="QY2" s="1">
        <v>1171</v>
      </c>
      <c r="QZ2" s="1">
        <v>1219</v>
      </c>
      <c r="RA2" s="1">
        <v>1157</v>
      </c>
      <c r="RB2" s="1">
        <v>1476</v>
      </c>
      <c r="RC2" s="1">
        <v>1045</v>
      </c>
      <c r="RD2" s="1">
        <v>1372</v>
      </c>
      <c r="RE2" s="1">
        <v>1517</v>
      </c>
      <c r="RF2" s="1">
        <v>1098</v>
      </c>
      <c r="RG2" s="1">
        <v>1891</v>
      </c>
      <c r="RH2" s="1">
        <v>1744</v>
      </c>
      <c r="RI2" s="1">
        <v>1036</v>
      </c>
      <c r="RJ2" s="1">
        <v>1279</v>
      </c>
      <c r="RK2" s="1">
        <v>1348</v>
      </c>
      <c r="RL2" s="1">
        <v>1496</v>
      </c>
      <c r="RM2" s="1">
        <v>1301</v>
      </c>
      <c r="RN2" s="1">
        <v>1180</v>
      </c>
      <c r="RO2" s="1">
        <v>1606</v>
      </c>
      <c r="RP2" s="1">
        <v>1098</v>
      </c>
      <c r="RQ2" s="1">
        <v>1699</v>
      </c>
      <c r="RR2" s="1">
        <v>1992</v>
      </c>
      <c r="RS2" s="1">
        <v>1115</v>
      </c>
      <c r="RT2" s="1">
        <v>1190</v>
      </c>
      <c r="RU2" s="1">
        <v>1252</v>
      </c>
      <c r="RV2" s="1">
        <v>1980</v>
      </c>
      <c r="RW2" s="1">
        <v>1927</v>
      </c>
      <c r="RX2" s="1">
        <v>1982</v>
      </c>
      <c r="RY2" s="1">
        <v>1160</v>
      </c>
      <c r="RZ2" s="1">
        <v>1255</v>
      </c>
      <c r="SA2" s="1">
        <v>1322</v>
      </c>
      <c r="SB2" s="1">
        <v>1127</v>
      </c>
      <c r="SC2" s="1">
        <v>1017</v>
      </c>
      <c r="SD2" s="1">
        <v>1792</v>
      </c>
      <c r="SE2" s="1">
        <v>1734</v>
      </c>
      <c r="SF2" s="1">
        <v>1565</v>
      </c>
      <c r="SG2" s="1">
        <v>1569</v>
      </c>
    </row>
    <row r="3" spans="1:501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45204</v>
      </c>
      <c r="BA3" s="2">
        <v>45097</v>
      </c>
      <c r="BB3" s="2">
        <v>45115</v>
      </c>
      <c r="BC3" s="2">
        <v>45279</v>
      </c>
      <c r="BD3" s="2">
        <v>45110</v>
      </c>
      <c r="BE3" s="2">
        <v>44929</v>
      </c>
      <c r="BF3" s="2">
        <v>45117</v>
      </c>
      <c r="BG3" s="2">
        <v>45044</v>
      </c>
      <c r="BH3" s="2">
        <v>44945</v>
      </c>
      <c r="BI3" s="2">
        <v>44949</v>
      </c>
      <c r="BJ3" s="2">
        <v>44956</v>
      </c>
      <c r="BK3" s="2">
        <v>45221</v>
      </c>
      <c r="BL3" s="2">
        <v>45034</v>
      </c>
      <c r="BM3" s="2">
        <v>45207</v>
      </c>
      <c r="BN3" s="2">
        <v>45054</v>
      </c>
      <c r="BO3" s="2">
        <v>45155</v>
      </c>
      <c r="BP3" s="2">
        <v>45037</v>
      </c>
      <c r="BQ3" s="2">
        <v>45062</v>
      </c>
      <c r="BR3" s="2">
        <v>45288</v>
      </c>
      <c r="BS3" s="2">
        <v>45112</v>
      </c>
      <c r="BT3" s="2">
        <v>45070</v>
      </c>
      <c r="BU3" s="2">
        <v>44998</v>
      </c>
      <c r="BV3" s="2">
        <v>45055</v>
      </c>
      <c r="BW3" s="2">
        <v>45290</v>
      </c>
      <c r="BX3" s="2">
        <v>45187</v>
      </c>
      <c r="BY3" s="2">
        <v>44929</v>
      </c>
      <c r="BZ3" s="2">
        <v>45030</v>
      </c>
      <c r="CA3" s="2">
        <v>45150</v>
      </c>
      <c r="CB3" s="2">
        <v>45246</v>
      </c>
      <c r="CC3" s="2">
        <v>45288</v>
      </c>
      <c r="CD3" s="2">
        <v>45280</v>
      </c>
      <c r="CE3" s="2">
        <v>44936</v>
      </c>
      <c r="CF3" s="2">
        <v>45228</v>
      </c>
      <c r="CG3" s="2">
        <v>45157</v>
      </c>
      <c r="CH3" s="2">
        <v>45145</v>
      </c>
      <c r="CI3" s="2">
        <v>44992</v>
      </c>
      <c r="CJ3" s="2">
        <v>45038</v>
      </c>
      <c r="CK3" s="2">
        <v>44939</v>
      </c>
      <c r="CL3" s="2">
        <v>45012</v>
      </c>
      <c r="CM3" s="2">
        <v>45160</v>
      </c>
      <c r="CN3" s="2">
        <v>45016</v>
      </c>
      <c r="CO3" s="2">
        <v>45240</v>
      </c>
      <c r="CP3" s="2">
        <v>44980</v>
      </c>
      <c r="CQ3" s="2">
        <v>44938</v>
      </c>
      <c r="CR3" s="2">
        <v>45135</v>
      </c>
      <c r="CS3" s="2">
        <v>44940</v>
      </c>
      <c r="CT3" s="2">
        <v>45047</v>
      </c>
      <c r="CU3" s="2">
        <v>44946</v>
      </c>
      <c r="CV3" s="2">
        <v>45001</v>
      </c>
      <c r="CW3" s="2">
        <v>45169</v>
      </c>
      <c r="CX3" s="2">
        <v>45149</v>
      </c>
      <c r="CY3" s="2">
        <v>44996</v>
      </c>
      <c r="CZ3" s="2">
        <v>45238</v>
      </c>
      <c r="DA3" s="2">
        <v>45137</v>
      </c>
      <c r="DB3" s="2">
        <v>45027</v>
      </c>
      <c r="DC3" s="2">
        <v>45112</v>
      </c>
      <c r="DD3" s="2">
        <v>45058</v>
      </c>
      <c r="DE3" s="2">
        <v>45037</v>
      </c>
      <c r="DF3" s="2">
        <v>45058</v>
      </c>
      <c r="DG3" s="2">
        <v>44946</v>
      </c>
      <c r="DH3" s="2">
        <v>44950</v>
      </c>
      <c r="DI3" s="2">
        <v>45153</v>
      </c>
      <c r="DJ3" s="2">
        <v>45080</v>
      </c>
      <c r="DK3" s="2">
        <v>45219</v>
      </c>
      <c r="DL3" s="2">
        <v>45156</v>
      </c>
      <c r="DM3" s="2">
        <v>45236</v>
      </c>
      <c r="DN3" s="2">
        <v>45285</v>
      </c>
      <c r="DO3" s="2">
        <v>45128</v>
      </c>
      <c r="DP3" s="2">
        <v>44964</v>
      </c>
      <c r="DQ3" s="2">
        <v>45186</v>
      </c>
      <c r="DR3" s="2">
        <v>45114</v>
      </c>
      <c r="DS3" s="2">
        <v>44983</v>
      </c>
      <c r="DT3" s="2">
        <v>44946</v>
      </c>
      <c r="DU3" s="2">
        <v>45199</v>
      </c>
      <c r="DV3" s="2">
        <v>45045</v>
      </c>
      <c r="DW3" s="2">
        <v>44997</v>
      </c>
      <c r="DX3" s="2">
        <v>44930</v>
      </c>
      <c r="DY3" s="2">
        <v>45147</v>
      </c>
      <c r="DZ3" s="2">
        <v>44940</v>
      </c>
      <c r="EA3" s="2">
        <v>44929</v>
      </c>
      <c r="EB3" s="2">
        <v>45142</v>
      </c>
      <c r="EC3" s="2">
        <v>45155</v>
      </c>
      <c r="ED3" s="2">
        <v>45262</v>
      </c>
      <c r="EE3" s="2">
        <v>45112</v>
      </c>
      <c r="EF3" s="2">
        <v>44981</v>
      </c>
      <c r="EG3" s="2">
        <v>45180</v>
      </c>
      <c r="EH3" s="2">
        <v>44950</v>
      </c>
      <c r="EI3" s="2">
        <v>45088</v>
      </c>
      <c r="EJ3" s="2">
        <v>45084</v>
      </c>
      <c r="EK3" s="2">
        <v>45008</v>
      </c>
      <c r="EL3" s="2">
        <v>45085</v>
      </c>
      <c r="EM3" s="2">
        <v>45114</v>
      </c>
      <c r="EN3" s="2">
        <v>44986</v>
      </c>
      <c r="EO3" s="2">
        <v>45231</v>
      </c>
      <c r="EP3" s="2">
        <v>45245</v>
      </c>
      <c r="EQ3" s="2">
        <v>45137</v>
      </c>
      <c r="ER3" s="2">
        <v>45078</v>
      </c>
      <c r="ES3" s="2">
        <v>45035</v>
      </c>
      <c r="ET3" s="2">
        <v>45002</v>
      </c>
      <c r="EU3" s="2">
        <v>44956</v>
      </c>
      <c r="EV3" s="2">
        <v>45240</v>
      </c>
      <c r="EW3" s="2">
        <v>45043</v>
      </c>
      <c r="EX3" s="2">
        <v>45282</v>
      </c>
      <c r="EY3" s="2">
        <v>45118</v>
      </c>
      <c r="EZ3" s="2">
        <v>44945</v>
      </c>
      <c r="FA3" s="2">
        <v>45099</v>
      </c>
      <c r="FB3" s="2">
        <v>45154</v>
      </c>
      <c r="FC3" s="2">
        <v>45276</v>
      </c>
      <c r="FD3" s="2">
        <v>45109</v>
      </c>
      <c r="FE3" s="2">
        <v>45039</v>
      </c>
      <c r="FF3" s="2">
        <v>45109</v>
      </c>
      <c r="FG3" s="2">
        <v>45072</v>
      </c>
      <c r="FH3" s="2">
        <v>45245</v>
      </c>
      <c r="FI3" s="2">
        <v>45042</v>
      </c>
      <c r="FJ3" s="2">
        <v>45039</v>
      </c>
      <c r="FK3" s="2">
        <v>45177</v>
      </c>
      <c r="FL3" s="2">
        <v>45177</v>
      </c>
      <c r="FM3" s="2">
        <v>45229</v>
      </c>
      <c r="FN3" s="2">
        <v>45239</v>
      </c>
      <c r="FO3" s="2">
        <v>45044</v>
      </c>
      <c r="FP3" s="2">
        <v>45227</v>
      </c>
      <c r="FQ3" s="2">
        <v>45087</v>
      </c>
      <c r="FR3" s="2">
        <v>45124</v>
      </c>
      <c r="FS3" s="2">
        <v>45186</v>
      </c>
      <c r="FT3" s="2">
        <v>45074</v>
      </c>
      <c r="FU3" s="2">
        <v>45166</v>
      </c>
      <c r="FV3" s="2">
        <v>44973</v>
      </c>
      <c r="FW3" s="2">
        <v>45124</v>
      </c>
      <c r="FX3" s="2">
        <v>44973</v>
      </c>
      <c r="FY3" s="2">
        <v>45004</v>
      </c>
      <c r="FZ3" s="2">
        <v>45050</v>
      </c>
      <c r="GA3" s="2">
        <v>45001</v>
      </c>
      <c r="GB3" s="2">
        <v>45285</v>
      </c>
      <c r="GC3" s="2">
        <v>45063</v>
      </c>
      <c r="GD3" s="2">
        <v>45016</v>
      </c>
      <c r="GE3" s="2">
        <v>45251</v>
      </c>
      <c r="GF3" s="2">
        <v>44987</v>
      </c>
      <c r="GG3" s="2">
        <v>45064</v>
      </c>
      <c r="GH3" s="2">
        <v>44976</v>
      </c>
      <c r="GI3" s="2">
        <v>45185</v>
      </c>
      <c r="GJ3" s="2">
        <v>45033</v>
      </c>
      <c r="GK3" s="2">
        <v>45039</v>
      </c>
      <c r="GL3" s="2">
        <v>45276</v>
      </c>
      <c r="GM3" s="2">
        <v>45180</v>
      </c>
      <c r="GN3" s="2">
        <v>45044</v>
      </c>
      <c r="GO3" s="2">
        <v>45124</v>
      </c>
      <c r="GP3" s="2">
        <v>45263</v>
      </c>
      <c r="GQ3" s="2">
        <v>45291</v>
      </c>
      <c r="GR3" s="2">
        <v>44977</v>
      </c>
      <c r="GS3" s="2">
        <v>45171</v>
      </c>
      <c r="GT3" s="2">
        <v>44961</v>
      </c>
      <c r="GU3" s="2">
        <v>45228</v>
      </c>
      <c r="GV3" s="2">
        <v>44995</v>
      </c>
      <c r="GW3" s="2">
        <v>45275</v>
      </c>
      <c r="GX3" s="2">
        <v>45246</v>
      </c>
      <c r="GY3" s="2">
        <v>44975</v>
      </c>
      <c r="GZ3" s="2">
        <v>45000</v>
      </c>
      <c r="HA3" s="2">
        <v>45118</v>
      </c>
      <c r="HB3" s="2">
        <v>45187</v>
      </c>
      <c r="HC3" s="2">
        <v>45282</v>
      </c>
      <c r="HD3" s="2">
        <v>44996</v>
      </c>
      <c r="HE3" s="2">
        <v>45016</v>
      </c>
      <c r="HF3" s="2">
        <v>45186</v>
      </c>
      <c r="HG3" s="2">
        <v>45052</v>
      </c>
      <c r="HH3" s="2">
        <v>45157</v>
      </c>
      <c r="HI3" s="2">
        <v>45221</v>
      </c>
      <c r="HJ3" s="2">
        <v>45055</v>
      </c>
      <c r="HK3" s="2">
        <v>45206</v>
      </c>
      <c r="HL3" s="2">
        <v>45239</v>
      </c>
      <c r="HM3" s="2">
        <v>45026</v>
      </c>
      <c r="HN3" s="2">
        <v>45252</v>
      </c>
      <c r="HO3" s="2">
        <v>45223</v>
      </c>
      <c r="HP3" s="2">
        <v>45108</v>
      </c>
      <c r="HQ3" s="2">
        <v>45100</v>
      </c>
      <c r="HR3" s="2">
        <v>45242</v>
      </c>
      <c r="HS3" s="2">
        <v>45290</v>
      </c>
      <c r="HT3" s="2">
        <v>45114</v>
      </c>
      <c r="HU3" s="2">
        <v>44983</v>
      </c>
      <c r="HV3" s="2">
        <v>44957</v>
      </c>
      <c r="HW3" s="2">
        <v>45010</v>
      </c>
      <c r="HX3" s="2">
        <v>45078</v>
      </c>
      <c r="HY3" s="2">
        <v>44962</v>
      </c>
      <c r="HZ3" s="2">
        <v>45139</v>
      </c>
      <c r="IA3" s="2">
        <v>45290</v>
      </c>
      <c r="IB3" s="2">
        <v>45032</v>
      </c>
      <c r="IC3" s="2">
        <v>45268</v>
      </c>
      <c r="ID3" s="2">
        <v>45146</v>
      </c>
      <c r="IE3" s="2">
        <v>45089</v>
      </c>
      <c r="IF3" s="2">
        <v>45146</v>
      </c>
      <c r="IG3" s="2">
        <v>45196</v>
      </c>
      <c r="IH3" s="2">
        <v>45046</v>
      </c>
      <c r="II3" s="2">
        <v>45262</v>
      </c>
      <c r="IJ3" s="2">
        <v>45108</v>
      </c>
      <c r="IK3" s="2">
        <v>45032</v>
      </c>
      <c r="IL3" s="2">
        <v>45143</v>
      </c>
      <c r="IM3" s="2">
        <v>45131</v>
      </c>
      <c r="IN3" s="2">
        <v>44996</v>
      </c>
      <c r="IO3" s="2">
        <v>44970</v>
      </c>
      <c r="IP3" s="2">
        <v>45255</v>
      </c>
      <c r="IQ3" s="2">
        <v>45227</v>
      </c>
      <c r="IR3" s="2">
        <v>45154</v>
      </c>
      <c r="IS3" s="2">
        <v>45110</v>
      </c>
      <c r="IT3" s="2">
        <v>45033</v>
      </c>
      <c r="IU3" s="2">
        <v>45010</v>
      </c>
      <c r="IV3" s="2">
        <v>45264</v>
      </c>
      <c r="IW3" s="2">
        <v>45176</v>
      </c>
      <c r="IX3" s="2">
        <v>45289</v>
      </c>
      <c r="IY3" s="2">
        <v>44947</v>
      </c>
      <c r="IZ3" s="2">
        <v>45122</v>
      </c>
      <c r="JA3" s="2">
        <v>45104</v>
      </c>
      <c r="JB3" s="2">
        <v>44933</v>
      </c>
      <c r="JC3" s="2">
        <v>44996</v>
      </c>
      <c r="JD3" s="2">
        <v>45053</v>
      </c>
      <c r="JE3" s="2">
        <v>45086</v>
      </c>
      <c r="JF3" s="2">
        <v>45174</v>
      </c>
      <c r="JG3" s="2">
        <v>45129</v>
      </c>
      <c r="JH3" s="2">
        <v>45074</v>
      </c>
      <c r="JI3" s="2">
        <v>45069</v>
      </c>
      <c r="JJ3" s="2">
        <v>45125</v>
      </c>
      <c r="JK3" s="2">
        <v>45080</v>
      </c>
      <c r="JL3" s="2">
        <v>45068</v>
      </c>
      <c r="JM3" s="2">
        <v>45239</v>
      </c>
      <c r="JN3" s="2">
        <v>45091</v>
      </c>
      <c r="JO3" s="2">
        <v>45240</v>
      </c>
      <c r="JP3" s="2">
        <v>44947</v>
      </c>
      <c r="JQ3" s="2">
        <v>45008</v>
      </c>
      <c r="JR3" s="2">
        <v>44995</v>
      </c>
      <c r="JS3" s="2">
        <v>45057</v>
      </c>
      <c r="JT3" s="2">
        <v>45013</v>
      </c>
      <c r="JU3" s="2">
        <v>45144</v>
      </c>
      <c r="JV3" s="2">
        <v>45231</v>
      </c>
      <c r="JW3" s="2">
        <v>45271</v>
      </c>
      <c r="JX3" s="2">
        <v>45267</v>
      </c>
      <c r="JY3" s="2">
        <v>45087</v>
      </c>
      <c r="JZ3" s="2">
        <v>45104</v>
      </c>
      <c r="KA3" s="2">
        <v>45043</v>
      </c>
      <c r="KB3" s="2">
        <v>45122</v>
      </c>
      <c r="KC3" s="2">
        <v>45253</v>
      </c>
      <c r="KD3" s="2">
        <v>45012</v>
      </c>
      <c r="KE3" s="2">
        <v>45215</v>
      </c>
      <c r="KF3" s="2">
        <v>45007</v>
      </c>
      <c r="KG3" s="2">
        <v>45078</v>
      </c>
      <c r="KH3" s="2">
        <v>44987</v>
      </c>
      <c r="KI3" s="2">
        <v>44987</v>
      </c>
      <c r="KJ3" s="2">
        <v>45280</v>
      </c>
      <c r="KK3" s="2">
        <v>44954</v>
      </c>
      <c r="KL3" s="2">
        <v>44969</v>
      </c>
      <c r="KM3" s="2">
        <v>45095</v>
      </c>
      <c r="KN3" s="2">
        <v>45012</v>
      </c>
      <c r="KO3" s="2">
        <v>45103</v>
      </c>
      <c r="KP3" s="2">
        <v>44943</v>
      </c>
      <c r="KQ3" s="2">
        <v>45024</v>
      </c>
      <c r="KR3" s="2">
        <v>45124</v>
      </c>
      <c r="KS3" s="2">
        <v>45024</v>
      </c>
      <c r="KT3" s="2">
        <v>44991</v>
      </c>
      <c r="KU3" s="2">
        <v>45256</v>
      </c>
      <c r="KV3" s="2">
        <v>45267</v>
      </c>
      <c r="KW3" s="2">
        <v>44931</v>
      </c>
      <c r="KX3" s="2">
        <v>44928</v>
      </c>
      <c r="KY3" s="2">
        <v>44948</v>
      </c>
      <c r="KZ3" s="2">
        <v>45038</v>
      </c>
      <c r="LA3" s="2">
        <v>44983</v>
      </c>
      <c r="LB3" s="2">
        <v>44992</v>
      </c>
      <c r="LC3" s="2">
        <v>45256</v>
      </c>
      <c r="LD3" s="2">
        <v>45024</v>
      </c>
      <c r="LE3" s="2">
        <v>45070</v>
      </c>
      <c r="LF3" s="2">
        <v>45051</v>
      </c>
      <c r="LG3" s="2">
        <v>45093</v>
      </c>
      <c r="LH3" s="2">
        <v>45012</v>
      </c>
      <c r="LI3" s="2">
        <v>45002</v>
      </c>
      <c r="LJ3" s="2">
        <v>45270</v>
      </c>
      <c r="LK3" s="2">
        <v>45220</v>
      </c>
      <c r="LL3" s="2">
        <v>44985</v>
      </c>
      <c r="LM3" s="2">
        <v>45064</v>
      </c>
      <c r="LN3" s="2">
        <v>45025</v>
      </c>
      <c r="LO3" s="2">
        <v>45118</v>
      </c>
      <c r="LP3" s="2">
        <v>45169</v>
      </c>
      <c r="LQ3" s="2">
        <v>45245</v>
      </c>
      <c r="LR3" s="2">
        <v>44975</v>
      </c>
      <c r="LS3" s="2">
        <v>44958</v>
      </c>
      <c r="LT3" s="2">
        <v>45203</v>
      </c>
      <c r="LU3" s="2">
        <v>44946</v>
      </c>
      <c r="LV3" s="2">
        <v>45080</v>
      </c>
      <c r="LW3" s="2">
        <v>44994</v>
      </c>
      <c r="LX3" s="2">
        <v>45140</v>
      </c>
      <c r="LY3" s="2">
        <v>45069</v>
      </c>
      <c r="LZ3" s="2">
        <v>45158</v>
      </c>
      <c r="MA3" s="2">
        <v>45139</v>
      </c>
      <c r="MB3" s="2">
        <v>45005</v>
      </c>
      <c r="MC3" s="2">
        <v>45140</v>
      </c>
      <c r="MD3" s="2">
        <v>45042</v>
      </c>
      <c r="ME3" s="2">
        <v>45018</v>
      </c>
      <c r="MF3" s="2">
        <v>45196</v>
      </c>
      <c r="MG3" s="2">
        <v>45094</v>
      </c>
      <c r="MH3" s="2">
        <v>44984</v>
      </c>
      <c r="MI3" s="2">
        <v>45210</v>
      </c>
      <c r="MJ3" s="2">
        <v>44952</v>
      </c>
      <c r="MK3" s="2">
        <v>44992</v>
      </c>
      <c r="ML3" s="2">
        <v>45174</v>
      </c>
      <c r="MM3" s="2">
        <v>45180</v>
      </c>
      <c r="MN3" s="2">
        <v>44970</v>
      </c>
      <c r="MO3" s="2">
        <v>45023</v>
      </c>
      <c r="MP3" s="2">
        <v>44968</v>
      </c>
      <c r="MQ3" s="2">
        <v>45153</v>
      </c>
      <c r="MR3" s="2">
        <v>45188</v>
      </c>
      <c r="MS3" s="2">
        <v>45093</v>
      </c>
      <c r="MT3" s="2">
        <v>45205</v>
      </c>
      <c r="MU3" s="2">
        <v>45015</v>
      </c>
      <c r="MV3" s="2">
        <v>45104</v>
      </c>
      <c r="MW3" s="2">
        <v>45123</v>
      </c>
      <c r="MX3" s="2">
        <v>45233</v>
      </c>
      <c r="MY3" s="2">
        <v>45193</v>
      </c>
      <c r="MZ3" s="2">
        <v>45194</v>
      </c>
      <c r="NA3" s="2">
        <v>45000</v>
      </c>
      <c r="NB3" s="2">
        <v>44934</v>
      </c>
      <c r="NC3" s="2">
        <v>45223</v>
      </c>
      <c r="ND3" s="2">
        <v>45090</v>
      </c>
      <c r="NE3" s="2">
        <v>45011</v>
      </c>
      <c r="NF3" s="2">
        <v>44998</v>
      </c>
      <c r="NG3" s="2">
        <v>44981</v>
      </c>
      <c r="NH3" s="2">
        <v>44973</v>
      </c>
      <c r="NI3" s="2">
        <v>45164</v>
      </c>
      <c r="NJ3" s="2">
        <v>45030</v>
      </c>
      <c r="NK3" s="2">
        <v>45136</v>
      </c>
      <c r="NL3" s="2">
        <v>44968</v>
      </c>
      <c r="NM3" s="2">
        <v>45242</v>
      </c>
      <c r="NN3" s="2">
        <v>45194</v>
      </c>
      <c r="NO3" s="2">
        <v>45189</v>
      </c>
      <c r="NP3" s="2">
        <v>45262</v>
      </c>
      <c r="NQ3" s="2">
        <v>45291</v>
      </c>
      <c r="NR3" s="2">
        <v>45185</v>
      </c>
      <c r="NS3" s="2">
        <v>45209</v>
      </c>
      <c r="NT3" s="2">
        <v>45040</v>
      </c>
      <c r="NU3" s="2">
        <v>45289</v>
      </c>
      <c r="NV3" s="2">
        <v>44966</v>
      </c>
      <c r="NW3" s="2">
        <v>45146</v>
      </c>
      <c r="NX3" s="2">
        <v>45055</v>
      </c>
      <c r="NY3" s="2">
        <v>44934</v>
      </c>
      <c r="NZ3" s="2">
        <v>45027</v>
      </c>
      <c r="OA3" s="2">
        <v>45102</v>
      </c>
      <c r="OB3" s="2">
        <v>45033</v>
      </c>
      <c r="OC3" s="2">
        <v>45027</v>
      </c>
      <c r="OD3" s="2">
        <v>45186</v>
      </c>
      <c r="OE3" s="2">
        <v>45172</v>
      </c>
      <c r="OF3" s="2">
        <v>45201</v>
      </c>
      <c r="OG3" s="2">
        <v>44958</v>
      </c>
      <c r="OH3" s="2">
        <v>45063</v>
      </c>
      <c r="OI3" s="2">
        <v>44938</v>
      </c>
      <c r="OJ3" s="2">
        <v>45228</v>
      </c>
      <c r="OK3" s="2">
        <v>44942</v>
      </c>
      <c r="OL3" s="2">
        <v>45055</v>
      </c>
      <c r="OM3" s="2">
        <v>44989</v>
      </c>
      <c r="ON3" s="2">
        <v>45035</v>
      </c>
      <c r="OO3" s="2">
        <v>44947</v>
      </c>
      <c r="OP3" s="2">
        <v>45084</v>
      </c>
      <c r="OQ3" s="2">
        <v>45195</v>
      </c>
      <c r="OR3" s="2">
        <v>45088</v>
      </c>
      <c r="OS3" s="2">
        <v>45186</v>
      </c>
      <c r="OT3" s="2">
        <v>45028</v>
      </c>
      <c r="OU3" s="2">
        <v>45149</v>
      </c>
      <c r="OV3" s="2">
        <v>44985</v>
      </c>
      <c r="OW3" s="2">
        <v>45173</v>
      </c>
      <c r="OX3" s="2">
        <v>45054</v>
      </c>
      <c r="OY3" s="2">
        <v>45209</v>
      </c>
      <c r="OZ3" s="2">
        <v>45251</v>
      </c>
      <c r="PA3" s="2">
        <v>44951</v>
      </c>
      <c r="PB3" s="2">
        <v>45057</v>
      </c>
      <c r="PC3" s="2">
        <v>45279</v>
      </c>
      <c r="PD3" s="2">
        <v>45122</v>
      </c>
      <c r="PE3" s="2">
        <v>45207</v>
      </c>
      <c r="PF3" s="2">
        <v>45080</v>
      </c>
      <c r="PG3" s="2">
        <v>45059</v>
      </c>
      <c r="PH3" s="2">
        <v>45153</v>
      </c>
      <c r="PI3" s="2">
        <v>45115</v>
      </c>
      <c r="PJ3" s="2">
        <v>45191</v>
      </c>
      <c r="PK3" s="2">
        <v>45060</v>
      </c>
      <c r="PL3" s="2">
        <v>45137</v>
      </c>
      <c r="PM3" s="2">
        <v>44986</v>
      </c>
      <c r="PN3" s="2">
        <v>45290</v>
      </c>
      <c r="PO3" s="2">
        <v>45290</v>
      </c>
      <c r="PP3" s="2">
        <v>45139</v>
      </c>
      <c r="PQ3" s="2">
        <v>45142</v>
      </c>
      <c r="PR3" s="2">
        <v>45152</v>
      </c>
      <c r="PS3" s="2">
        <v>45057</v>
      </c>
      <c r="PT3" s="2">
        <v>45002</v>
      </c>
      <c r="PU3" s="2">
        <v>45212</v>
      </c>
      <c r="PV3" s="2">
        <v>45203</v>
      </c>
      <c r="PW3" s="2">
        <v>45082</v>
      </c>
      <c r="PX3" s="2">
        <v>45174</v>
      </c>
      <c r="PY3" s="2">
        <v>45144</v>
      </c>
      <c r="PZ3" s="2">
        <v>45116</v>
      </c>
      <c r="QA3" s="2">
        <v>45089</v>
      </c>
      <c r="QB3" s="2">
        <v>45106</v>
      </c>
      <c r="QC3" s="2">
        <v>44960</v>
      </c>
      <c r="QD3" s="2">
        <v>44967</v>
      </c>
      <c r="QE3" s="2">
        <v>45233</v>
      </c>
      <c r="QF3" s="2">
        <v>45264</v>
      </c>
      <c r="QG3" s="2">
        <v>45240</v>
      </c>
      <c r="QH3" s="2">
        <v>45001</v>
      </c>
      <c r="QI3" s="2">
        <v>45205</v>
      </c>
      <c r="QJ3" s="2">
        <v>45102</v>
      </c>
      <c r="QK3" s="2">
        <v>45076</v>
      </c>
      <c r="QL3" s="2">
        <v>45199</v>
      </c>
      <c r="QM3" s="2">
        <v>45251</v>
      </c>
      <c r="QN3" s="2">
        <v>45034</v>
      </c>
      <c r="QO3" s="2">
        <v>45065</v>
      </c>
      <c r="QP3" s="2">
        <v>45276</v>
      </c>
      <c r="QQ3" s="2">
        <v>45197</v>
      </c>
      <c r="QR3" s="2">
        <v>45273</v>
      </c>
      <c r="QS3" s="2">
        <v>45215</v>
      </c>
      <c r="QT3" s="2">
        <v>45138</v>
      </c>
      <c r="QU3" s="2">
        <v>45198</v>
      </c>
      <c r="QV3" s="2">
        <v>44992</v>
      </c>
      <c r="QW3" s="2">
        <v>45174</v>
      </c>
      <c r="QX3" s="2">
        <v>45082</v>
      </c>
      <c r="QY3" s="2">
        <v>44973</v>
      </c>
      <c r="QZ3" s="2">
        <v>45127</v>
      </c>
      <c r="RA3" s="2">
        <v>45074</v>
      </c>
      <c r="RB3" s="2">
        <v>45050</v>
      </c>
      <c r="RC3" s="2">
        <v>44927</v>
      </c>
      <c r="RD3" s="2">
        <v>45173</v>
      </c>
      <c r="RE3" s="2">
        <v>45269</v>
      </c>
      <c r="RF3" s="2">
        <v>45054</v>
      </c>
      <c r="RG3" s="2">
        <v>45117</v>
      </c>
      <c r="RH3" s="2">
        <v>44993</v>
      </c>
      <c r="RI3" s="2">
        <v>44930</v>
      </c>
      <c r="RJ3" s="2">
        <v>45229</v>
      </c>
      <c r="RK3" s="2">
        <v>45220</v>
      </c>
      <c r="RL3" s="2">
        <v>45069</v>
      </c>
      <c r="RM3" s="2">
        <v>45117</v>
      </c>
      <c r="RN3" s="2">
        <v>44947</v>
      </c>
      <c r="RO3" s="2">
        <v>45153</v>
      </c>
      <c r="RP3" s="2">
        <v>45239</v>
      </c>
      <c r="RQ3" s="2">
        <v>45043</v>
      </c>
      <c r="RR3" s="2">
        <v>45228</v>
      </c>
      <c r="RS3" s="2">
        <v>45068</v>
      </c>
      <c r="RT3" s="2">
        <v>44965</v>
      </c>
      <c r="RU3" s="2">
        <v>45281</v>
      </c>
      <c r="RV3" s="2">
        <v>45178</v>
      </c>
      <c r="RW3" s="2">
        <v>45259</v>
      </c>
      <c r="RX3" s="2">
        <v>45133</v>
      </c>
      <c r="RY3" s="2">
        <v>45136</v>
      </c>
      <c r="RZ3" s="2">
        <v>45041</v>
      </c>
      <c r="SA3" s="2">
        <v>45151</v>
      </c>
      <c r="SB3" s="2">
        <v>45060</v>
      </c>
      <c r="SC3" s="2">
        <v>45177</v>
      </c>
      <c r="SD3" s="2">
        <v>45145</v>
      </c>
      <c r="SE3" s="2">
        <v>45017</v>
      </c>
      <c r="SF3" s="2">
        <v>45280</v>
      </c>
      <c r="SG3" s="2">
        <v>44972</v>
      </c>
    </row>
    <row r="4" spans="1:501" x14ac:dyDescent="0.3">
      <c r="A4" s="3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45211</v>
      </c>
      <c r="BA4" s="2">
        <v>45098</v>
      </c>
      <c r="BB4" s="2">
        <v>45118</v>
      </c>
      <c r="BC4" s="2">
        <v>45281</v>
      </c>
      <c r="BD4" s="2">
        <v>45115</v>
      </c>
      <c r="BE4" s="2">
        <v>44934</v>
      </c>
      <c r="BF4" s="2">
        <v>45122</v>
      </c>
      <c r="BG4" s="2">
        <v>45048</v>
      </c>
      <c r="BH4" s="2">
        <v>44950</v>
      </c>
      <c r="BI4" s="2">
        <v>44952</v>
      </c>
      <c r="BJ4" s="2">
        <v>44957</v>
      </c>
      <c r="BK4" s="2">
        <v>45226</v>
      </c>
      <c r="BL4" s="2">
        <v>45043</v>
      </c>
      <c r="BM4" s="2">
        <v>45216</v>
      </c>
      <c r="BN4" s="2">
        <v>45058</v>
      </c>
      <c r="BO4" s="2">
        <v>45158</v>
      </c>
      <c r="BP4" s="2">
        <v>45038</v>
      </c>
      <c r="BQ4" s="2">
        <v>45064</v>
      </c>
      <c r="BR4" s="2">
        <v>45296</v>
      </c>
      <c r="BS4" s="2">
        <v>45113</v>
      </c>
      <c r="BT4" s="2">
        <v>45078</v>
      </c>
      <c r="BU4" s="2">
        <v>45005</v>
      </c>
      <c r="BV4" s="2">
        <v>45063</v>
      </c>
      <c r="BW4" s="2">
        <v>45296</v>
      </c>
      <c r="BX4" s="2">
        <v>45196</v>
      </c>
      <c r="BY4" s="2">
        <v>44932</v>
      </c>
      <c r="BZ4" s="2">
        <v>45034</v>
      </c>
      <c r="CA4" s="2">
        <v>45156</v>
      </c>
      <c r="CB4" s="2">
        <v>45254</v>
      </c>
      <c r="CC4" s="2">
        <v>45293</v>
      </c>
      <c r="CD4" s="2">
        <v>45283</v>
      </c>
      <c r="CE4" s="2">
        <v>44942</v>
      </c>
      <c r="CF4" s="2">
        <v>45232</v>
      </c>
      <c r="CG4" s="2">
        <v>45166</v>
      </c>
      <c r="CH4" s="2">
        <v>45148</v>
      </c>
      <c r="CI4" s="2">
        <v>44996</v>
      </c>
      <c r="CJ4" s="2">
        <v>45045</v>
      </c>
      <c r="CK4" s="2">
        <v>44946</v>
      </c>
      <c r="CL4" s="2">
        <v>45016</v>
      </c>
      <c r="CM4" s="2">
        <v>45166</v>
      </c>
      <c r="CN4" s="2">
        <v>45019</v>
      </c>
      <c r="CO4" s="2">
        <v>45246</v>
      </c>
      <c r="CP4" s="2">
        <v>44982</v>
      </c>
      <c r="CQ4" s="2">
        <v>44946</v>
      </c>
      <c r="CR4" s="2">
        <v>45137</v>
      </c>
      <c r="CS4" s="2">
        <v>44947</v>
      </c>
      <c r="CT4" s="2">
        <v>45056</v>
      </c>
      <c r="CU4" s="2">
        <v>44947</v>
      </c>
      <c r="CV4" s="2">
        <v>45009</v>
      </c>
      <c r="CW4" s="2">
        <v>45176</v>
      </c>
      <c r="CX4" s="2">
        <v>45155</v>
      </c>
      <c r="CY4" s="2">
        <v>45002</v>
      </c>
      <c r="CZ4" s="2">
        <v>45244</v>
      </c>
      <c r="DA4" s="2">
        <v>45146</v>
      </c>
      <c r="DB4" s="2">
        <v>45029</v>
      </c>
      <c r="DC4" s="2">
        <v>45113</v>
      </c>
      <c r="DD4" s="2">
        <v>45064</v>
      </c>
      <c r="DE4" s="2">
        <v>45045</v>
      </c>
      <c r="DF4" s="2">
        <v>45061</v>
      </c>
      <c r="DG4" s="2">
        <v>44947</v>
      </c>
      <c r="DH4" s="2">
        <v>44959</v>
      </c>
      <c r="DI4" s="2">
        <v>45154</v>
      </c>
      <c r="DJ4" s="2">
        <v>45083</v>
      </c>
      <c r="DK4" s="2">
        <v>45227</v>
      </c>
      <c r="DL4" s="2">
        <v>45159</v>
      </c>
      <c r="DM4" s="2">
        <v>45240</v>
      </c>
      <c r="DN4" s="2">
        <v>45293</v>
      </c>
      <c r="DO4" s="2">
        <v>45129</v>
      </c>
      <c r="DP4" s="2">
        <v>44970</v>
      </c>
      <c r="DQ4" s="2">
        <v>45187</v>
      </c>
      <c r="DR4" s="2">
        <v>45115</v>
      </c>
      <c r="DS4" s="2">
        <v>44991</v>
      </c>
      <c r="DT4" s="2">
        <v>44950</v>
      </c>
      <c r="DU4" s="2">
        <v>45200</v>
      </c>
      <c r="DV4" s="2">
        <v>45052</v>
      </c>
      <c r="DW4" s="2">
        <v>45002</v>
      </c>
      <c r="DX4" s="2">
        <v>44935</v>
      </c>
      <c r="DY4" s="2">
        <v>45148</v>
      </c>
      <c r="DZ4" s="2">
        <v>44946</v>
      </c>
      <c r="EA4" s="2">
        <v>44938</v>
      </c>
      <c r="EB4" s="2">
        <v>45151</v>
      </c>
      <c r="EC4" s="2">
        <v>45163</v>
      </c>
      <c r="ED4" s="2">
        <v>45267</v>
      </c>
      <c r="EE4" s="2">
        <v>45113</v>
      </c>
      <c r="EF4" s="2">
        <v>44990</v>
      </c>
      <c r="EG4" s="2">
        <v>45181</v>
      </c>
      <c r="EH4" s="2">
        <v>44958</v>
      </c>
      <c r="EI4" s="2">
        <v>45093</v>
      </c>
      <c r="EJ4" s="2">
        <v>45087</v>
      </c>
      <c r="EK4" s="2">
        <v>45015</v>
      </c>
      <c r="EL4" s="2">
        <v>45092</v>
      </c>
      <c r="EM4" s="2">
        <v>45123</v>
      </c>
      <c r="EN4" s="2">
        <v>44993</v>
      </c>
      <c r="EO4" s="2">
        <v>45234</v>
      </c>
      <c r="EP4" s="2">
        <v>45246</v>
      </c>
      <c r="EQ4" s="2">
        <v>45145</v>
      </c>
      <c r="ER4" s="2">
        <v>45081</v>
      </c>
      <c r="ES4" s="2">
        <v>45043</v>
      </c>
      <c r="ET4" s="2">
        <v>45010</v>
      </c>
      <c r="EU4" s="2">
        <v>44961</v>
      </c>
      <c r="EV4" s="2">
        <v>45241</v>
      </c>
      <c r="EW4" s="2">
        <v>45050</v>
      </c>
      <c r="EX4" s="2">
        <v>45287</v>
      </c>
      <c r="EY4" s="2">
        <v>45126</v>
      </c>
      <c r="EZ4" s="2">
        <v>44954</v>
      </c>
      <c r="FA4" s="2">
        <v>45106</v>
      </c>
      <c r="FB4" s="2">
        <v>45161</v>
      </c>
      <c r="FC4" s="2">
        <v>45277</v>
      </c>
      <c r="FD4" s="2">
        <v>45113</v>
      </c>
      <c r="FE4" s="2">
        <v>45041</v>
      </c>
      <c r="FF4" s="2">
        <v>45111</v>
      </c>
      <c r="FG4" s="2">
        <v>45074</v>
      </c>
      <c r="FH4" s="2">
        <v>45249</v>
      </c>
      <c r="FI4" s="2">
        <v>45043</v>
      </c>
      <c r="FJ4" s="2">
        <v>45043</v>
      </c>
      <c r="FK4" s="2">
        <v>45179</v>
      </c>
      <c r="FL4" s="2">
        <v>45182</v>
      </c>
      <c r="FM4" s="2">
        <v>45232</v>
      </c>
      <c r="FN4" s="2">
        <v>45247</v>
      </c>
      <c r="FO4" s="2">
        <v>45048</v>
      </c>
      <c r="FP4" s="2">
        <v>45228</v>
      </c>
      <c r="FQ4" s="2">
        <v>45088</v>
      </c>
      <c r="FR4" s="2">
        <v>45127</v>
      </c>
      <c r="FS4" s="2">
        <v>45195</v>
      </c>
      <c r="FT4" s="2">
        <v>45081</v>
      </c>
      <c r="FU4" s="2">
        <v>45168</v>
      </c>
      <c r="FV4" s="2">
        <v>44982</v>
      </c>
      <c r="FW4" s="2">
        <v>45126</v>
      </c>
      <c r="FX4" s="2">
        <v>44976</v>
      </c>
      <c r="FY4" s="2">
        <v>45006</v>
      </c>
      <c r="FZ4" s="2">
        <v>45053</v>
      </c>
      <c r="GA4" s="2">
        <v>45007</v>
      </c>
      <c r="GB4" s="2">
        <v>45294</v>
      </c>
      <c r="GC4" s="2">
        <v>45072</v>
      </c>
      <c r="GD4" s="2">
        <v>45023</v>
      </c>
      <c r="GE4" s="2">
        <v>45254</v>
      </c>
      <c r="GF4" s="2">
        <v>44991</v>
      </c>
      <c r="GG4" s="2">
        <v>45070</v>
      </c>
      <c r="GH4" s="2">
        <v>44981</v>
      </c>
      <c r="GI4" s="2">
        <v>45187</v>
      </c>
      <c r="GJ4" s="2">
        <v>45039</v>
      </c>
      <c r="GK4" s="2">
        <v>45042</v>
      </c>
      <c r="GL4" s="2">
        <v>45284</v>
      </c>
      <c r="GM4" s="2">
        <v>45182</v>
      </c>
      <c r="GN4" s="2">
        <v>45045</v>
      </c>
      <c r="GO4" s="2">
        <v>45133</v>
      </c>
      <c r="GP4" s="2">
        <v>45266</v>
      </c>
      <c r="GQ4" s="2">
        <v>45292</v>
      </c>
      <c r="GR4" s="2">
        <v>44984</v>
      </c>
      <c r="GS4" s="2">
        <v>45176</v>
      </c>
      <c r="GT4" s="2">
        <v>44966</v>
      </c>
      <c r="GU4" s="2">
        <v>45229</v>
      </c>
      <c r="GV4" s="2">
        <v>45004</v>
      </c>
      <c r="GW4" s="2">
        <v>45282</v>
      </c>
      <c r="GX4" s="2">
        <v>45254</v>
      </c>
      <c r="GY4" s="2">
        <v>44984</v>
      </c>
      <c r="GZ4" s="2">
        <v>45006</v>
      </c>
      <c r="HA4" s="2">
        <v>45123</v>
      </c>
      <c r="HB4" s="2">
        <v>45193</v>
      </c>
      <c r="HC4" s="2">
        <v>45284</v>
      </c>
      <c r="HD4" s="2">
        <v>45000</v>
      </c>
      <c r="HE4" s="2">
        <v>45019</v>
      </c>
      <c r="HF4" s="2">
        <v>45193</v>
      </c>
      <c r="HG4" s="2">
        <v>45061</v>
      </c>
      <c r="HH4" s="2">
        <v>45162</v>
      </c>
      <c r="HI4" s="2">
        <v>45227</v>
      </c>
      <c r="HJ4" s="2">
        <v>45057</v>
      </c>
      <c r="HK4" s="2">
        <v>45209</v>
      </c>
      <c r="HL4" s="2">
        <v>45242</v>
      </c>
      <c r="HM4" s="2">
        <v>45035</v>
      </c>
      <c r="HN4" s="2">
        <v>45259</v>
      </c>
      <c r="HO4" s="2">
        <v>45231</v>
      </c>
      <c r="HP4" s="2">
        <v>45117</v>
      </c>
      <c r="HQ4" s="2">
        <v>45106</v>
      </c>
      <c r="HR4" s="2">
        <v>45246</v>
      </c>
      <c r="HS4" s="2">
        <v>45291</v>
      </c>
      <c r="HT4" s="2">
        <v>45122</v>
      </c>
      <c r="HU4" s="2">
        <v>44990</v>
      </c>
      <c r="HV4" s="2">
        <v>44959</v>
      </c>
      <c r="HW4" s="2">
        <v>45018</v>
      </c>
      <c r="HX4" s="2">
        <v>45083</v>
      </c>
      <c r="HY4" s="2">
        <v>44969</v>
      </c>
      <c r="HZ4" s="2">
        <v>45143</v>
      </c>
      <c r="IA4" s="2">
        <v>45295</v>
      </c>
      <c r="IB4" s="2">
        <v>45040</v>
      </c>
      <c r="IC4" s="2">
        <v>45269</v>
      </c>
      <c r="ID4" s="2">
        <v>45147</v>
      </c>
      <c r="IE4" s="2">
        <v>45093</v>
      </c>
      <c r="IF4" s="2">
        <v>45149</v>
      </c>
      <c r="IG4" s="2">
        <v>45198</v>
      </c>
      <c r="IH4" s="2">
        <v>45049</v>
      </c>
      <c r="II4" s="2">
        <v>45263</v>
      </c>
      <c r="IJ4" s="2">
        <v>45109</v>
      </c>
      <c r="IK4" s="2">
        <v>45038</v>
      </c>
      <c r="IL4" s="2">
        <v>45148</v>
      </c>
      <c r="IM4" s="2">
        <v>45139</v>
      </c>
      <c r="IN4" s="2">
        <v>44998</v>
      </c>
      <c r="IO4" s="2">
        <v>44974</v>
      </c>
      <c r="IP4" s="2">
        <v>45263</v>
      </c>
      <c r="IQ4" s="2">
        <v>45233</v>
      </c>
      <c r="IR4" s="2">
        <v>45155</v>
      </c>
      <c r="IS4" s="2">
        <v>45114</v>
      </c>
      <c r="IT4" s="2">
        <v>45034</v>
      </c>
      <c r="IU4" s="2">
        <v>45012</v>
      </c>
      <c r="IV4" s="2">
        <v>45269</v>
      </c>
      <c r="IW4" s="2">
        <v>45184</v>
      </c>
      <c r="IX4" s="2">
        <v>45297</v>
      </c>
      <c r="IY4" s="2">
        <v>44950</v>
      </c>
      <c r="IZ4" s="2">
        <v>45126</v>
      </c>
      <c r="JA4" s="2">
        <v>45110</v>
      </c>
      <c r="JB4" s="2">
        <v>44936</v>
      </c>
      <c r="JC4" s="2">
        <v>44998</v>
      </c>
      <c r="JD4" s="2">
        <v>45059</v>
      </c>
      <c r="JE4" s="2">
        <v>45091</v>
      </c>
      <c r="JF4" s="2">
        <v>45179</v>
      </c>
      <c r="JG4" s="2">
        <v>45134</v>
      </c>
      <c r="JH4" s="2">
        <v>45079</v>
      </c>
      <c r="JI4" s="2">
        <v>45072</v>
      </c>
      <c r="JJ4" s="2">
        <v>45132</v>
      </c>
      <c r="JK4" s="2">
        <v>45086</v>
      </c>
      <c r="JL4" s="2">
        <v>45072</v>
      </c>
      <c r="JM4" s="2">
        <v>45241</v>
      </c>
      <c r="JN4" s="2">
        <v>45100</v>
      </c>
      <c r="JO4" s="2">
        <v>45241</v>
      </c>
      <c r="JP4" s="2">
        <v>44951</v>
      </c>
      <c r="JQ4" s="2">
        <v>45009</v>
      </c>
      <c r="JR4" s="2">
        <v>45001</v>
      </c>
      <c r="JS4" s="2">
        <v>45061</v>
      </c>
      <c r="JT4" s="2">
        <v>45018</v>
      </c>
      <c r="JU4" s="2">
        <v>45149</v>
      </c>
      <c r="JV4" s="2">
        <v>45240</v>
      </c>
      <c r="JW4" s="2">
        <v>45272</v>
      </c>
      <c r="JX4" s="2">
        <v>45269</v>
      </c>
      <c r="JY4" s="2">
        <v>45093</v>
      </c>
      <c r="JZ4" s="2">
        <v>45109</v>
      </c>
      <c r="KA4" s="2">
        <v>45050</v>
      </c>
      <c r="KB4" s="2">
        <v>45125</v>
      </c>
      <c r="KC4" s="2">
        <v>45256</v>
      </c>
      <c r="KD4" s="2">
        <v>45014</v>
      </c>
      <c r="KE4" s="2">
        <v>45218</v>
      </c>
      <c r="KF4" s="2">
        <v>45008</v>
      </c>
      <c r="KG4" s="2">
        <v>45083</v>
      </c>
      <c r="KH4" s="2">
        <v>44992</v>
      </c>
      <c r="KI4" s="2">
        <v>44994</v>
      </c>
      <c r="KJ4" s="2">
        <v>45284</v>
      </c>
      <c r="KK4" s="2">
        <v>44957</v>
      </c>
      <c r="KL4" s="2">
        <v>44970</v>
      </c>
      <c r="KM4" s="2">
        <v>45103</v>
      </c>
      <c r="KN4" s="2">
        <v>45015</v>
      </c>
      <c r="KO4" s="2">
        <v>45105</v>
      </c>
      <c r="KP4" s="2">
        <v>44947</v>
      </c>
      <c r="KQ4" s="2">
        <v>45027</v>
      </c>
      <c r="KR4" s="2">
        <v>45125</v>
      </c>
      <c r="KS4" s="2">
        <v>45027</v>
      </c>
      <c r="KT4" s="2">
        <v>44993</v>
      </c>
      <c r="KU4" s="2">
        <v>45264</v>
      </c>
      <c r="KV4" s="2">
        <v>45273</v>
      </c>
      <c r="KW4" s="2">
        <v>44940</v>
      </c>
      <c r="KX4" s="2">
        <v>44936</v>
      </c>
      <c r="KY4" s="2">
        <v>44951</v>
      </c>
      <c r="KZ4" s="2">
        <v>45043</v>
      </c>
      <c r="LA4" s="2">
        <v>44990</v>
      </c>
      <c r="LB4" s="2">
        <v>44997</v>
      </c>
      <c r="LC4" s="2">
        <v>45264</v>
      </c>
      <c r="LD4" s="2">
        <v>45029</v>
      </c>
      <c r="LE4" s="2">
        <v>45071</v>
      </c>
      <c r="LF4" s="2">
        <v>45056</v>
      </c>
      <c r="LG4" s="2">
        <v>45097</v>
      </c>
      <c r="LH4" s="2">
        <v>45018</v>
      </c>
      <c r="LI4" s="2">
        <v>45005</v>
      </c>
      <c r="LJ4" s="2">
        <v>45275</v>
      </c>
      <c r="LK4" s="2">
        <v>45222</v>
      </c>
      <c r="LL4" s="2">
        <v>44991</v>
      </c>
      <c r="LM4" s="2">
        <v>45070</v>
      </c>
      <c r="LN4" s="2">
        <v>45030</v>
      </c>
      <c r="LO4" s="2">
        <v>45124</v>
      </c>
      <c r="LP4" s="2">
        <v>45176</v>
      </c>
      <c r="LQ4" s="2">
        <v>45250</v>
      </c>
      <c r="LR4" s="2">
        <v>44976</v>
      </c>
      <c r="LS4" s="2">
        <v>44966</v>
      </c>
      <c r="LT4" s="2">
        <v>45207</v>
      </c>
      <c r="LU4" s="2">
        <v>44955</v>
      </c>
      <c r="LV4" s="2">
        <v>45086</v>
      </c>
      <c r="LW4" s="2">
        <v>44995</v>
      </c>
      <c r="LX4" s="2">
        <v>45143</v>
      </c>
      <c r="LY4" s="2">
        <v>45072</v>
      </c>
      <c r="LZ4" s="2">
        <v>45162</v>
      </c>
      <c r="MA4" s="2">
        <v>45145</v>
      </c>
      <c r="MB4" s="2">
        <v>45012</v>
      </c>
      <c r="MC4" s="2">
        <v>45144</v>
      </c>
      <c r="MD4" s="2">
        <v>45048</v>
      </c>
      <c r="ME4" s="2">
        <v>45019</v>
      </c>
      <c r="MF4" s="2">
        <v>45204</v>
      </c>
      <c r="MG4" s="2">
        <v>45101</v>
      </c>
      <c r="MH4" s="2">
        <v>44993</v>
      </c>
      <c r="MI4" s="2">
        <v>45213</v>
      </c>
      <c r="MJ4" s="2">
        <v>44954</v>
      </c>
      <c r="MK4" s="2">
        <v>44993</v>
      </c>
      <c r="ML4" s="2">
        <v>45177</v>
      </c>
      <c r="MM4" s="2">
        <v>45185</v>
      </c>
      <c r="MN4" s="2">
        <v>44972</v>
      </c>
      <c r="MO4" s="2">
        <v>45026</v>
      </c>
      <c r="MP4" s="2">
        <v>44972</v>
      </c>
      <c r="MQ4" s="2">
        <v>45160</v>
      </c>
      <c r="MR4" s="2">
        <v>45191</v>
      </c>
      <c r="MS4" s="2">
        <v>45102</v>
      </c>
      <c r="MT4" s="2">
        <v>45213</v>
      </c>
      <c r="MU4" s="2">
        <v>45019</v>
      </c>
      <c r="MV4" s="2">
        <v>45105</v>
      </c>
      <c r="MW4" s="2">
        <v>45124</v>
      </c>
      <c r="MX4" s="2">
        <v>45234</v>
      </c>
      <c r="MY4" s="2">
        <v>45194</v>
      </c>
      <c r="MZ4" s="2">
        <v>45202</v>
      </c>
      <c r="NA4" s="2">
        <v>45003</v>
      </c>
      <c r="NB4" s="2">
        <v>44940</v>
      </c>
      <c r="NC4" s="2">
        <v>45226</v>
      </c>
      <c r="ND4" s="2">
        <v>45095</v>
      </c>
      <c r="NE4" s="2">
        <v>45018</v>
      </c>
      <c r="NF4" s="2">
        <v>45000</v>
      </c>
      <c r="NG4" s="2">
        <v>44987</v>
      </c>
      <c r="NH4" s="2">
        <v>44979</v>
      </c>
      <c r="NI4" s="2">
        <v>45167</v>
      </c>
      <c r="NJ4" s="2">
        <v>45036</v>
      </c>
      <c r="NK4" s="2">
        <v>45141</v>
      </c>
      <c r="NL4" s="2">
        <v>44970</v>
      </c>
      <c r="NM4" s="2">
        <v>45251</v>
      </c>
      <c r="NN4" s="2">
        <v>45202</v>
      </c>
      <c r="NO4" s="2">
        <v>45192</v>
      </c>
      <c r="NP4" s="2">
        <v>45270</v>
      </c>
      <c r="NQ4" s="2">
        <v>45300</v>
      </c>
      <c r="NR4" s="2">
        <v>45188</v>
      </c>
      <c r="NS4" s="2">
        <v>45212</v>
      </c>
      <c r="NT4" s="2">
        <v>45042</v>
      </c>
      <c r="NU4" s="2">
        <v>45297</v>
      </c>
      <c r="NV4" s="2">
        <v>44967</v>
      </c>
      <c r="NW4" s="2">
        <v>45154</v>
      </c>
      <c r="NX4" s="2">
        <v>45062</v>
      </c>
      <c r="NY4" s="2">
        <v>44941</v>
      </c>
      <c r="NZ4" s="2">
        <v>45030</v>
      </c>
      <c r="OA4" s="2">
        <v>45103</v>
      </c>
      <c r="OB4" s="2">
        <v>45037</v>
      </c>
      <c r="OC4" s="2">
        <v>45036</v>
      </c>
      <c r="OD4" s="2">
        <v>45191</v>
      </c>
      <c r="OE4" s="2">
        <v>45173</v>
      </c>
      <c r="OF4" s="2">
        <v>45206</v>
      </c>
      <c r="OG4" s="2">
        <v>44966</v>
      </c>
      <c r="OH4" s="2">
        <v>45071</v>
      </c>
      <c r="OI4" s="2">
        <v>44943</v>
      </c>
      <c r="OJ4" s="2">
        <v>45237</v>
      </c>
      <c r="OK4" s="2">
        <v>44943</v>
      </c>
      <c r="OL4" s="2">
        <v>45059</v>
      </c>
      <c r="OM4" s="2">
        <v>44992</v>
      </c>
      <c r="ON4" s="2">
        <v>45037</v>
      </c>
      <c r="OO4" s="2">
        <v>44955</v>
      </c>
      <c r="OP4" s="2">
        <v>45091</v>
      </c>
      <c r="OQ4" s="2">
        <v>45204</v>
      </c>
      <c r="OR4" s="2">
        <v>45090</v>
      </c>
      <c r="OS4" s="2">
        <v>45190</v>
      </c>
      <c r="OT4" s="2">
        <v>45034</v>
      </c>
      <c r="OU4" s="2">
        <v>45152</v>
      </c>
      <c r="OV4" s="2">
        <v>44993</v>
      </c>
      <c r="OW4" s="2">
        <v>45176</v>
      </c>
      <c r="OX4" s="2">
        <v>45056</v>
      </c>
      <c r="OY4" s="2">
        <v>45212</v>
      </c>
      <c r="OZ4" s="2">
        <v>45257</v>
      </c>
      <c r="PA4" s="2">
        <v>44953</v>
      </c>
      <c r="PB4" s="2">
        <v>45065</v>
      </c>
      <c r="PC4" s="2">
        <v>45280</v>
      </c>
      <c r="PD4" s="2">
        <v>45129</v>
      </c>
      <c r="PE4" s="2">
        <v>45209</v>
      </c>
      <c r="PF4" s="2">
        <v>45086</v>
      </c>
      <c r="PG4" s="2">
        <v>45061</v>
      </c>
      <c r="PH4" s="2">
        <v>45155</v>
      </c>
      <c r="PI4" s="2">
        <v>45123</v>
      </c>
      <c r="PJ4" s="2">
        <v>45193</v>
      </c>
      <c r="PK4" s="2">
        <v>45067</v>
      </c>
      <c r="PL4" s="2">
        <v>45140</v>
      </c>
      <c r="PM4" s="2">
        <v>44994</v>
      </c>
      <c r="PN4" s="2">
        <v>45297</v>
      </c>
      <c r="PO4" s="2">
        <v>45298</v>
      </c>
      <c r="PP4" s="2">
        <v>45146</v>
      </c>
      <c r="PQ4" s="2">
        <v>45148</v>
      </c>
      <c r="PR4" s="2">
        <v>45159</v>
      </c>
      <c r="PS4" s="2">
        <v>45062</v>
      </c>
      <c r="PT4" s="2">
        <v>45009</v>
      </c>
      <c r="PU4" s="2">
        <v>45213</v>
      </c>
      <c r="PV4" s="2">
        <v>45204</v>
      </c>
      <c r="PW4" s="2">
        <v>45091</v>
      </c>
      <c r="PX4" s="2">
        <v>45179</v>
      </c>
      <c r="PY4" s="2">
        <v>45149</v>
      </c>
      <c r="PZ4" s="2">
        <v>45119</v>
      </c>
      <c r="QA4" s="2">
        <v>45094</v>
      </c>
      <c r="QB4" s="2">
        <v>45109</v>
      </c>
      <c r="QC4" s="2">
        <v>44969</v>
      </c>
      <c r="QD4" s="2">
        <v>44976</v>
      </c>
      <c r="QE4" s="2">
        <v>45239</v>
      </c>
      <c r="QF4" s="2">
        <v>45265</v>
      </c>
      <c r="QG4" s="2">
        <v>45247</v>
      </c>
      <c r="QH4" s="2">
        <v>45008</v>
      </c>
      <c r="QI4" s="2">
        <v>45209</v>
      </c>
      <c r="QJ4" s="2">
        <v>45110</v>
      </c>
      <c r="QK4" s="2">
        <v>45082</v>
      </c>
      <c r="QL4" s="2">
        <v>45203</v>
      </c>
      <c r="QM4" s="2">
        <v>45255</v>
      </c>
      <c r="QN4" s="2">
        <v>45036</v>
      </c>
      <c r="QO4" s="2">
        <v>45067</v>
      </c>
      <c r="QP4" s="2">
        <v>45280</v>
      </c>
      <c r="QQ4" s="2">
        <v>45202</v>
      </c>
      <c r="QR4" s="2">
        <v>45281</v>
      </c>
      <c r="QS4" s="2">
        <v>45221</v>
      </c>
      <c r="QT4" s="2">
        <v>45142</v>
      </c>
      <c r="QU4" s="2">
        <v>45205</v>
      </c>
      <c r="QV4" s="2">
        <v>45000</v>
      </c>
      <c r="QW4" s="2">
        <v>45176</v>
      </c>
      <c r="QX4" s="2">
        <v>45089</v>
      </c>
      <c r="QY4" s="2">
        <v>44975</v>
      </c>
      <c r="QZ4" s="2">
        <v>45129</v>
      </c>
      <c r="RA4" s="2">
        <v>45082</v>
      </c>
      <c r="RB4" s="2">
        <v>45052</v>
      </c>
      <c r="RC4" s="2">
        <v>44936</v>
      </c>
      <c r="RD4" s="2">
        <v>45174</v>
      </c>
      <c r="RE4" s="2">
        <v>45278</v>
      </c>
      <c r="RF4" s="2">
        <v>45055</v>
      </c>
      <c r="RG4" s="2">
        <v>45119</v>
      </c>
      <c r="RH4" s="2">
        <v>44999</v>
      </c>
      <c r="RI4" s="2">
        <v>44936</v>
      </c>
      <c r="RJ4" s="2">
        <v>45230</v>
      </c>
      <c r="RK4" s="2">
        <v>45227</v>
      </c>
      <c r="RL4" s="2">
        <v>45077</v>
      </c>
      <c r="RM4" s="2">
        <v>45119</v>
      </c>
      <c r="RN4" s="2">
        <v>44955</v>
      </c>
      <c r="RO4" s="2">
        <v>45162</v>
      </c>
      <c r="RP4" s="2">
        <v>45245</v>
      </c>
      <c r="RQ4" s="2">
        <v>45048</v>
      </c>
      <c r="RR4" s="2">
        <v>45237</v>
      </c>
      <c r="RS4" s="2">
        <v>45077</v>
      </c>
      <c r="RT4" s="2">
        <v>44966</v>
      </c>
      <c r="RU4" s="2">
        <v>45284</v>
      </c>
      <c r="RV4" s="2">
        <v>45187</v>
      </c>
      <c r="RW4" s="2">
        <v>45261</v>
      </c>
      <c r="RX4" s="2">
        <v>45137</v>
      </c>
      <c r="RY4" s="2">
        <v>45140</v>
      </c>
      <c r="RZ4" s="2">
        <v>45043</v>
      </c>
      <c r="SA4" s="2">
        <v>45154</v>
      </c>
      <c r="SB4" s="2">
        <v>45063</v>
      </c>
      <c r="SC4" s="2">
        <v>45178</v>
      </c>
      <c r="SD4" s="2">
        <v>45151</v>
      </c>
      <c r="SE4" s="2">
        <v>45025</v>
      </c>
      <c r="SF4" s="2">
        <v>45283</v>
      </c>
      <c r="SG4" s="2">
        <v>44977</v>
      </c>
    </row>
    <row r="5" spans="1:501" x14ac:dyDescent="0.3">
      <c r="A5" s="3" t="s">
        <v>4</v>
      </c>
      <c r="B5" s="1" t="s">
        <v>15</v>
      </c>
      <c r="C5" s="1" t="s">
        <v>22</v>
      </c>
      <c r="D5" s="1" t="s">
        <v>15</v>
      </c>
      <c r="E5" s="1" t="s">
        <v>34</v>
      </c>
      <c r="F5" s="1" t="s">
        <v>37</v>
      </c>
      <c r="G5" s="1" t="s">
        <v>40</v>
      </c>
      <c r="H5" s="1" t="s">
        <v>34</v>
      </c>
      <c r="I5" s="1" t="s">
        <v>46</v>
      </c>
      <c r="J5" s="1" t="s">
        <v>15</v>
      </c>
      <c r="K5" s="1" t="s">
        <v>34</v>
      </c>
      <c r="L5" s="1" t="s">
        <v>34</v>
      </c>
      <c r="M5" s="1" t="s">
        <v>46</v>
      </c>
      <c r="N5" s="1" t="s">
        <v>16</v>
      </c>
      <c r="O5" s="1" t="s">
        <v>37</v>
      </c>
      <c r="P5" s="1" t="s">
        <v>40</v>
      </c>
      <c r="Q5" s="1" t="s">
        <v>22</v>
      </c>
      <c r="R5" s="1" t="s">
        <v>16</v>
      </c>
      <c r="S5" s="1" t="s">
        <v>15</v>
      </c>
      <c r="T5" s="1" t="s">
        <v>34</v>
      </c>
      <c r="U5" s="1" t="s">
        <v>46</v>
      </c>
      <c r="V5" s="1" t="s">
        <v>46</v>
      </c>
      <c r="W5" s="1" t="s">
        <v>37</v>
      </c>
      <c r="X5" s="1" t="s">
        <v>16</v>
      </c>
      <c r="Y5" s="1" t="s">
        <v>22</v>
      </c>
      <c r="Z5" s="1" t="s">
        <v>37</v>
      </c>
      <c r="AA5" s="1" t="s">
        <v>34</v>
      </c>
      <c r="AB5" s="1" t="s">
        <v>37</v>
      </c>
      <c r="AC5" s="1" t="s">
        <v>40</v>
      </c>
      <c r="AD5" s="1" t="s">
        <v>46</v>
      </c>
      <c r="AE5" s="1" t="s">
        <v>46</v>
      </c>
      <c r="AF5" s="1" t="s">
        <v>15</v>
      </c>
      <c r="AG5" s="1" t="s">
        <v>15</v>
      </c>
      <c r="AH5" s="1" t="s">
        <v>22</v>
      </c>
      <c r="AI5" s="1" t="s">
        <v>34</v>
      </c>
      <c r="AJ5" s="1" t="s">
        <v>40</v>
      </c>
      <c r="AK5" s="1" t="s">
        <v>16</v>
      </c>
      <c r="AL5" s="1" t="s">
        <v>37</v>
      </c>
      <c r="AM5" s="1" t="s">
        <v>22</v>
      </c>
      <c r="AN5" s="1" t="s">
        <v>34</v>
      </c>
      <c r="AO5" s="1" t="s">
        <v>15</v>
      </c>
      <c r="AP5" s="1" t="s">
        <v>37</v>
      </c>
      <c r="AQ5" s="1" t="s">
        <v>15</v>
      </c>
      <c r="AR5" s="1" t="s">
        <v>37</v>
      </c>
      <c r="AS5" s="1" t="s">
        <v>16</v>
      </c>
      <c r="AT5" s="1" t="s">
        <v>34</v>
      </c>
      <c r="AU5" s="1" t="s">
        <v>37</v>
      </c>
      <c r="AV5" s="1" t="s">
        <v>40</v>
      </c>
      <c r="AW5" s="1" t="s">
        <v>22</v>
      </c>
      <c r="AX5" s="1" t="s">
        <v>46</v>
      </c>
      <c r="AY5" s="1" t="s">
        <v>40</v>
      </c>
      <c r="AZ5" s="1" t="s">
        <v>40</v>
      </c>
      <c r="BA5" s="1" t="s">
        <v>22</v>
      </c>
      <c r="BB5" s="1" t="s">
        <v>46</v>
      </c>
      <c r="BC5" s="1" t="s">
        <v>40</v>
      </c>
      <c r="BD5" s="1" t="s">
        <v>37</v>
      </c>
      <c r="BE5" s="1" t="s">
        <v>37</v>
      </c>
      <c r="BF5" s="1" t="s">
        <v>37</v>
      </c>
      <c r="BG5" s="1" t="s">
        <v>46</v>
      </c>
      <c r="BH5" s="1" t="s">
        <v>40</v>
      </c>
      <c r="BI5" s="1" t="s">
        <v>46</v>
      </c>
      <c r="BJ5" s="1" t="s">
        <v>37</v>
      </c>
      <c r="BK5" s="1" t="s">
        <v>22</v>
      </c>
      <c r="BL5" s="1" t="s">
        <v>40</v>
      </c>
      <c r="BM5" s="1" t="s">
        <v>40</v>
      </c>
      <c r="BN5" s="1" t="s">
        <v>15</v>
      </c>
      <c r="BO5" s="1" t="s">
        <v>15</v>
      </c>
      <c r="BP5" s="1" t="s">
        <v>16</v>
      </c>
      <c r="BQ5" s="1" t="s">
        <v>34</v>
      </c>
      <c r="BR5" s="1" t="s">
        <v>15</v>
      </c>
      <c r="BS5" s="1" t="s">
        <v>46</v>
      </c>
      <c r="BT5" s="1" t="s">
        <v>15</v>
      </c>
      <c r="BU5" s="1" t="s">
        <v>16</v>
      </c>
      <c r="BV5" s="1" t="s">
        <v>40</v>
      </c>
      <c r="BW5" s="1" t="s">
        <v>16</v>
      </c>
      <c r="BX5" s="1" t="s">
        <v>40</v>
      </c>
      <c r="BY5" s="1" t="s">
        <v>22</v>
      </c>
      <c r="BZ5" s="1" t="s">
        <v>22</v>
      </c>
      <c r="CA5" s="1" t="s">
        <v>40</v>
      </c>
      <c r="CB5" s="1" t="s">
        <v>34</v>
      </c>
      <c r="CC5" s="1" t="s">
        <v>15</v>
      </c>
      <c r="CD5" s="1" t="s">
        <v>46</v>
      </c>
      <c r="CE5" s="1" t="s">
        <v>46</v>
      </c>
      <c r="CF5" s="1" t="s">
        <v>37</v>
      </c>
      <c r="CG5" s="1" t="s">
        <v>40</v>
      </c>
      <c r="CH5" s="1" t="s">
        <v>46</v>
      </c>
      <c r="CI5" s="1" t="s">
        <v>34</v>
      </c>
      <c r="CJ5" s="1" t="s">
        <v>40</v>
      </c>
      <c r="CK5" s="1" t="s">
        <v>34</v>
      </c>
      <c r="CL5" s="1" t="s">
        <v>46</v>
      </c>
      <c r="CM5" s="1" t="s">
        <v>46</v>
      </c>
      <c r="CN5" s="1" t="s">
        <v>37</v>
      </c>
      <c r="CO5" s="1" t="s">
        <v>46</v>
      </c>
      <c r="CP5" s="1" t="s">
        <v>40</v>
      </c>
      <c r="CQ5" s="1" t="s">
        <v>22</v>
      </c>
      <c r="CR5" s="1" t="s">
        <v>40</v>
      </c>
      <c r="CS5" s="1" t="s">
        <v>40</v>
      </c>
      <c r="CT5" s="1" t="s">
        <v>37</v>
      </c>
      <c r="CU5" s="1" t="s">
        <v>37</v>
      </c>
      <c r="CV5" s="1" t="s">
        <v>46</v>
      </c>
      <c r="CW5" s="1" t="s">
        <v>16</v>
      </c>
      <c r="CX5" s="1" t="s">
        <v>16</v>
      </c>
      <c r="CY5" s="1" t="s">
        <v>37</v>
      </c>
      <c r="CZ5" s="1" t="s">
        <v>46</v>
      </c>
      <c r="DA5" s="1" t="s">
        <v>16</v>
      </c>
      <c r="DB5" s="1" t="s">
        <v>46</v>
      </c>
      <c r="DC5" s="1" t="s">
        <v>46</v>
      </c>
      <c r="DD5" s="1" t="s">
        <v>46</v>
      </c>
      <c r="DE5" s="1" t="s">
        <v>15</v>
      </c>
      <c r="DF5" s="1" t="s">
        <v>40</v>
      </c>
      <c r="DG5" s="1" t="s">
        <v>46</v>
      </c>
      <c r="DH5" s="1" t="s">
        <v>15</v>
      </c>
      <c r="DI5" s="1" t="s">
        <v>37</v>
      </c>
      <c r="DJ5" s="1" t="s">
        <v>16</v>
      </c>
      <c r="DK5" s="1" t="s">
        <v>40</v>
      </c>
      <c r="DL5" s="1" t="s">
        <v>22</v>
      </c>
      <c r="DM5" s="1" t="s">
        <v>16</v>
      </c>
      <c r="DN5" s="1" t="s">
        <v>40</v>
      </c>
      <c r="DO5" s="1" t="s">
        <v>22</v>
      </c>
      <c r="DP5" s="1" t="s">
        <v>16</v>
      </c>
      <c r="DQ5" s="1" t="s">
        <v>40</v>
      </c>
      <c r="DR5" s="1" t="s">
        <v>16</v>
      </c>
      <c r="DS5" s="1" t="s">
        <v>16</v>
      </c>
      <c r="DT5" s="1" t="s">
        <v>22</v>
      </c>
      <c r="DU5" s="1" t="s">
        <v>16</v>
      </c>
      <c r="DV5" s="1" t="s">
        <v>16</v>
      </c>
      <c r="DW5" s="1" t="s">
        <v>22</v>
      </c>
      <c r="DX5" s="1" t="s">
        <v>37</v>
      </c>
      <c r="DY5" s="1" t="s">
        <v>46</v>
      </c>
      <c r="DZ5" s="1" t="s">
        <v>34</v>
      </c>
      <c r="EA5" s="1" t="s">
        <v>15</v>
      </c>
      <c r="EB5" s="1" t="s">
        <v>34</v>
      </c>
      <c r="EC5" s="1" t="s">
        <v>34</v>
      </c>
      <c r="ED5" s="1" t="s">
        <v>40</v>
      </c>
      <c r="EE5" s="1" t="s">
        <v>46</v>
      </c>
      <c r="EF5" s="1" t="s">
        <v>40</v>
      </c>
      <c r="EG5" s="1" t="s">
        <v>46</v>
      </c>
      <c r="EH5" s="1" t="s">
        <v>22</v>
      </c>
      <c r="EI5" s="1" t="s">
        <v>22</v>
      </c>
      <c r="EJ5" s="1" t="s">
        <v>46</v>
      </c>
      <c r="EK5" s="1" t="s">
        <v>16</v>
      </c>
      <c r="EL5" s="1" t="s">
        <v>37</v>
      </c>
      <c r="EM5" s="1" t="s">
        <v>16</v>
      </c>
      <c r="EN5" s="1" t="s">
        <v>37</v>
      </c>
      <c r="EO5" s="1" t="s">
        <v>40</v>
      </c>
      <c r="EP5" s="1" t="s">
        <v>37</v>
      </c>
      <c r="EQ5" s="1" t="s">
        <v>40</v>
      </c>
      <c r="ER5" s="1" t="s">
        <v>22</v>
      </c>
      <c r="ES5" s="1" t="s">
        <v>34</v>
      </c>
      <c r="ET5" s="1" t="s">
        <v>22</v>
      </c>
      <c r="EU5" s="1" t="s">
        <v>22</v>
      </c>
      <c r="EV5" s="1" t="s">
        <v>34</v>
      </c>
      <c r="EW5" s="1" t="s">
        <v>37</v>
      </c>
      <c r="EX5" s="1" t="s">
        <v>37</v>
      </c>
      <c r="EY5" s="1" t="s">
        <v>40</v>
      </c>
      <c r="EZ5" s="1" t="s">
        <v>16</v>
      </c>
      <c r="FA5" s="1" t="s">
        <v>40</v>
      </c>
      <c r="FB5" s="1" t="s">
        <v>16</v>
      </c>
      <c r="FC5" s="1" t="s">
        <v>22</v>
      </c>
      <c r="FD5" s="1" t="s">
        <v>34</v>
      </c>
      <c r="FE5" s="1" t="s">
        <v>22</v>
      </c>
      <c r="FF5" s="1" t="s">
        <v>46</v>
      </c>
      <c r="FG5" s="1" t="s">
        <v>37</v>
      </c>
      <c r="FH5" s="1" t="s">
        <v>16</v>
      </c>
      <c r="FI5" s="1" t="s">
        <v>40</v>
      </c>
      <c r="FJ5" s="1" t="s">
        <v>34</v>
      </c>
      <c r="FK5" s="1" t="s">
        <v>16</v>
      </c>
      <c r="FL5" s="1" t="s">
        <v>40</v>
      </c>
      <c r="FM5" s="1" t="s">
        <v>37</v>
      </c>
      <c r="FN5" s="1" t="s">
        <v>22</v>
      </c>
      <c r="FO5" s="1" t="s">
        <v>37</v>
      </c>
      <c r="FP5" s="1" t="s">
        <v>15</v>
      </c>
      <c r="FQ5" s="1" t="s">
        <v>46</v>
      </c>
      <c r="FR5" s="1" t="s">
        <v>15</v>
      </c>
      <c r="FS5" s="1" t="s">
        <v>34</v>
      </c>
      <c r="FT5" s="1" t="s">
        <v>16</v>
      </c>
      <c r="FU5" s="1" t="s">
        <v>34</v>
      </c>
      <c r="FV5" s="1" t="s">
        <v>22</v>
      </c>
      <c r="FW5" s="1" t="s">
        <v>40</v>
      </c>
      <c r="FX5" s="1" t="s">
        <v>37</v>
      </c>
      <c r="FY5" s="1" t="s">
        <v>15</v>
      </c>
      <c r="FZ5" s="1" t="s">
        <v>15</v>
      </c>
      <c r="GA5" s="1" t="s">
        <v>22</v>
      </c>
      <c r="GB5" s="1" t="s">
        <v>15</v>
      </c>
      <c r="GC5" s="1" t="s">
        <v>22</v>
      </c>
      <c r="GD5" s="1" t="s">
        <v>34</v>
      </c>
      <c r="GE5" s="1" t="s">
        <v>37</v>
      </c>
      <c r="GF5" s="1" t="s">
        <v>16</v>
      </c>
      <c r="GG5" s="1" t="s">
        <v>40</v>
      </c>
      <c r="GH5" s="1" t="s">
        <v>16</v>
      </c>
      <c r="GI5" s="1" t="s">
        <v>34</v>
      </c>
      <c r="GJ5" s="1" t="s">
        <v>40</v>
      </c>
      <c r="GK5" s="1" t="s">
        <v>15</v>
      </c>
      <c r="GL5" s="1" t="s">
        <v>46</v>
      </c>
      <c r="GM5" s="1" t="s">
        <v>34</v>
      </c>
      <c r="GN5" s="1" t="s">
        <v>34</v>
      </c>
      <c r="GO5" s="1" t="s">
        <v>37</v>
      </c>
      <c r="GP5" s="1" t="s">
        <v>16</v>
      </c>
      <c r="GQ5" s="1" t="s">
        <v>34</v>
      </c>
      <c r="GR5" s="1" t="s">
        <v>34</v>
      </c>
      <c r="GS5" s="1" t="s">
        <v>15</v>
      </c>
      <c r="GT5" s="1" t="s">
        <v>15</v>
      </c>
      <c r="GU5" s="1" t="s">
        <v>40</v>
      </c>
      <c r="GV5" s="1" t="s">
        <v>22</v>
      </c>
      <c r="GW5" s="1" t="s">
        <v>22</v>
      </c>
      <c r="GX5" s="1" t="s">
        <v>46</v>
      </c>
      <c r="GY5" s="1" t="s">
        <v>22</v>
      </c>
      <c r="GZ5" s="1" t="s">
        <v>37</v>
      </c>
      <c r="HA5" s="1" t="s">
        <v>46</v>
      </c>
      <c r="HB5" s="1" t="s">
        <v>40</v>
      </c>
      <c r="HC5" s="1" t="s">
        <v>15</v>
      </c>
      <c r="HD5" s="1" t="s">
        <v>22</v>
      </c>
      <c r="HE5" s="1" t="s">
        <v>16</v>
      </c>
      <c r="HF5" s="1" t="s">
        <v>15</v>
      </c>
      <c r="HG5" s="1" t="s">
        <v>37</v>
      </c>
      <c r="HH5" s="1" t="s">
        <v>15</v>
      </c>
      <c r="HI5" s="1" t="s">
        <v>37</v>
      </c>
      <c r="HJ5" s="1" t="s">
        <v>37</v>
      </c>
      <c r="HK5" s="1" t="s">
        <v>37</v>
      </c>
      <c r="HL5" s="1" t="s">
        <v>40</v>
      </c>
      <c r="HM5" s="1" t="s">
        <v>37</v>
      </c>
      <c r="HN5" s="1" t="s">
        <v>37</v>
      </c>
      <c r="HO5" s="1" t="s">
        <v>16</v>
      </c>
      <c r="HP5" s="1" t="s">
        <v>46</v>
      </c>
      <c r="HQ5" s="1" t="s">
        <v>34</v>
      </c>
      <c r="HR5" s="1" t="s">
        <v>46</v>
      </c>
      <c r="HS5" s="1" t="s">
        <v>37</v>
      </c>
      <c r="HT5" s="1" t="s">
        <v>16</v>
      </c>
      <c r="HU5" s="1" t="s">
        <v>15</v>
      </c>
      <c r="HV5" s="1" t="s">
        <v>16</v>
      </c>
      <c r="HW5" s="1" t="s">
        <v>37</v>
      </c>
      <c r="HX5" s="1" t="s">
        <v>16</v>
      </c>
      <c r="HY5" s="1" t="s">
        <v>22</v>
      </c>
      <c r="HZ5" s="1" t="s">
        <v>16</v>
      </c>
      <c r="IA5" s="1" t="s">
        <v>37</v>
      </c>
      <c r="IB5" s="1" t="s">
        <v>40</v>
      </c>
      <c r="IC5" s="1" t="s">
        <v>22</v>
      </c>
      <c r="ID5" s="1" t="s">
        <v>16</v>
      </c>
      <c r="IE5" s="1" t="s">
        <v>34</v>
      </c>
      <c r="IF5" s="1" t="s">
        <v>34</v>
      </c>
      <c r="IG5" s="1" t="s">
        <v>16</v>
      </c>
      <c r="IH5" s="1" t="s">
        <v>40</v>
      </c>
      <c r="II5" s="1" t="s">
        <v>15</v>
      </c>
      <c r="IJ5" s="1" t="s">
        <v>37</v>
      </c>
      <c r="IK5" s="1" t="s">
        <v>34</v>
      </c>
      <c r="IL5" s="1" t="s">
        <v>15</v>
      </c>
      <c r="IM5" s="1" t="s">
        <v>16</v>
      </c>
      <c r="IN5" s="1" t="s">
        <v>15</v>
      </c>
      <c r="IO5" s="1" t="s">
        <v>22</v>
      </c>
      <c r="IP5" s="1" t="s">
        <v>46</v>
      </c>
      <c r="IQ5" s="1" t="s">
        <v>34</v>
      </c>
      <c r="IR5" s="1" t="s">
        <v>16</v>
      </c>
      <c r="IS5" s="1" t="s">
        <v>37</v>
      </c>
      <c r="IT5" s="1" t="s">
        <v>40</v>
      </c>
      <c r="IU5" s="1" t="s">
        <v>22</v>
      </c>
      <c r="IV5" s="1" t="s">
        <v>16</v>
      </c>
      <c r="IW5" s="1" t="s">
        <v>37</v>
      </c>
      <c r="IX5" s="1" t="s">
        <v>40</v>
      </c>
      <c r="IY5" s="1" t="s">
        <v>40</v>
      </c>
      <c r="IZ5" s="1" t="s">
        <v>16</v>
      </c>
      <c r="JA5" s="1" t="s">
        <v>22</v>
      </c>
      <c r="JB5" s="1" t="s">
        <v>15</v>
      </c>
      <c r="JC5" s="1" t="s">
        <v>15</v>
      </c>
      <c r="JD5" s="1" t="s">
        <v>40</v>
      </c>
      <c r="JE5" s="1" t="s">
        <v>15</v>
      </c>
      <c r="JF5" s="1" t="s">
        <v>46</v>
      </c>
      <c r="JG5" s="1" t="s">
        <v>40</v>
      </c>
      <c r="JH5" s="1" t="s">
        <v>40</v>
      </c>
      <c r="JI5" s="1" t="s">
        <v>37</v>
      </c>
      <c r="JJ5" s="1" t="s">
        <v>15</v>
      </c>
      <c r="JK5" s="1" t="s">
        <v>22</v>
      </c>
      <c r="JL5" s="1" t="s">
        <v>40</v>
      </c>
      <c r="JM5" s="1" t="s">
        <v>22</v>
      </c>
      <c r="JN5" s="1" t="s">
        <v>46</v>
      </c>
      <c r="JO5" s="1" t="s">
        <v>37</v>
      </c>
      <c r="JP5" s="1" t="s">
        <v>16</v>
      </c>
      <c r="JQ5" s="1" t="s">
        <v>22</v>
      </c>
      <c r="JR5" s="1" t="s">
        <v>40</v>
      </c>
      <c r="JS5" s="1" t="s">
        <v>46</v>
      </c>
      <c r="JT5" s="1" t="s">
        <v>34</v>
      </c>
      <c r="JU5" s="1" t="s">
        <v>46</v>
      </c>
      <c r="JV5" s="1" t="s">
        <v>46</v>
      </c>
      <c r="JW5" s="1" t="s">
        <v>37</v>
      </c>
      <c r="JX5" s="1" t="s">
        <v>16</v>
      </c>
      <c r="JY5" s="1" t="s">
        <v>34</v>
      </c>
      <c r="JZ5" s="1" t="s">
        <v>15</v>
      </c>
      <c r="KA5" s="1" t="s">
        <v>15</v>
      </c>
      <c r="KB5" s="1" t="s">
        <v>22</v>
      </c>
      <c r="KC5" s="1" t="s">
        <v>46</v>
      </c>
      <c r="KD5" s="1" t="s">
        <v>37</v>
      </c>
      <c r="KE5" s="1" t="s">
        <v>37</v>
      </c>
      <c r="KF5" s="1" t="s">
        <v>15</v>
      </c>
      <c r="KG5" s="1" t="s">
        <v>22</v>
      </c>
      <c r="KH5" s="1" t="s">
        <v>22</v>
      </c>
      <c r="KI5" s="1" t="s">
        <v>22</v>
      </c>
      <c r="KJ5" s="1" t="s">
        <v>34</v>
      </c>
      <c r="KK5" s="1" t="s">
        <v>16</v>
      </c>
      <c r="KL5" s="1" t="s">
        <v>34</v>
      </c>
      <c r="KM5" s="1" t="s">
        <v>40</v>
      </c>
      <c r="KN5" s="1" t="s">
        <v>40</v>
      </c>
      <c r="KO5" s="1" t="s">
        <v>16</v>
      </c>
      <c r="KP5" s="1" t="s">
        <v>15</v>
      </c>
      <c r="KQ5" s="1" t="s">
        <v>16</v>
      </c>
      <c r="KR5" s="1" t="s">
        <v>37</v>
      </c>
      <c r="KS5" s="1" t="s">
        <v>40</v>
      </c>
      <c r="KT5" s="1" t="s">
        <v>46</v>
      </c>
      <c r="KU5" s="1" t="s">
        <v>46</v>
      </c>
      <c r="KV5" s="1" t="s">
        <v>15</v>
      </c>
      <c r="KW5" s="1" t="s">
        <v>37</v>
      </c>
      <c r="KX5" s="1" t="s">
        <v>34</v>
      </c>
      <c r="KY5" s="1" t="s">
        <v>37</v>
      </c>
      <c r="KZ5" s="1" t="s">
        <v>46</v>
      </c>
      <c r="LA5" s="1" t="s">
        <v>46</v>
      </c>
      <c r="LB5" s="1" t="s">
        <v>40</v>
      </c>
      <c r="LC5" s="1" t="s">
        <v>37</v>
      </c>
      <c r="LD5" s="1" t="s">
        <v>37</v>
      </c>
      <c r="LE5" s="1" t="s">
        <v>46</v>
      </c>
      <c r="LF5" s="1" t="s">
        <v>34</v>
      </c>
      <c r="LG5" s="1" t="s">
        <v>15</v>
      </c>
      <c r="LH5" s="1" t="s">
        <v>22</v>
      </c>
      <c r="LI5" s="1" t="s">
        <v>15</v>
      </c>
      <c r="LJ5" s="1" t="s">
        <v>37</v>
      </c>
      <c r="LK5" s="1" t="s">
        <v>15</v>
      </c>
      <c r="LL5" s="1" t="s">
        <v>46</v>
      </c>
      <c r="LM5" s="1" t="s">
        <v>46</v>
      </c>
      <c r="LN5" s="1" t="s">
        <v>37</v>
      </c>
      <c r="LO5" s="1" t="s">
        <v>37</v>
      </c>
      <c r="LP5" s="1" t="s">
        <v>22</v>
      </c>
      <c r="LQ5" s="1" t="s">
        <v>22</v>
      </c>
      <c r="LR5" s="1" t="s">
        <v>40</v>
      </c>
      <c r="LS5" s="1" t="s">
        <v>37</v>
      </c>
      <c r="LT5" s="1" t="s">
        <v>34</v>
      </c>
      <c r="LU5" s="1" t="s">
        <v>15</v>
      </c>
      <c r="LV5" s="1" t="s">
        <v>37</v>
      </c>
      <c r="LW5" s="1" t="s">
        <v>16</v>
      </c>
      <c r="LX5" s="1" t="s">
        <v>40</v>
      </c>
      <c r="LY5" s="1" t="s">
        <v>16</v>
      </c>
      <c r="LZ5" s="1" t="s">
        <v>46</v>
      </c>
      <c r="MA5" s="1" t="s">
        <v>22</v>
      </c>
      <c r="MB5" s="1" t="s">
        <v>15</v>
      </c>
      <c r="MC5" s="1" t="s">
        <v>37</v>
      </c>
      <c r="MD5" s="1" t="s">
        <v>16</v>
      </c>
      <c r="ME5" s="1" t="s">
        <v>15</v>
      </c>
      <c r="MF5" s="1" t="s">
        <v>46</v>
      </c>
      <c r="MG5" s="1" t="s">
        <v>22</v>
      </c>
      <c r="MH5" s="1" t="s">
        <v>34</v>
      </c>
      <c r="MI5" s="1" t="s">
        <v>40</v>
      </c>
      <c r="MJ5" s="1" t="s">
        <v>15</v>
      </c>
      <c r="MK5" s="1" t="s">
        <v>15</v>
      </c>
      <c r="ML5" s="1" t="s">
        <v>34</v>
      </c>
      <c r="MM5" s="1" t="s">
        <v>15</v>
      </c>
      <c r="MN5" s="1" t="s">
        <v>46</v>
      </c>
      <c r="MO5" s="1" t="s">
        <v>46</v>
      </c>
      <c r="MP5" s="1" t="s">
        <v>34</v>
      </c>
      <c r="MQ5" s="1" t="s">
        <v>40</v>
      </c>
      <c r="MR5" s="1" t="s">
        <v>37</v>
      </c>
      <c r="MS5" s="1" t="s">
        <v>16</v>
      </c>
      <c r="MT5" s="1" t="s">
        <v>37</v>
      </c>
      <c r="MU5" s="1" t="s">
        <v>15</v>
      </c>
      <c r="MV5" s="1" t="s">
        <v>16</v>
      </c>
      <c r="MW5" s="1" t="s">
        <v>34</v>
      </c>
      <c r="MX5" s="1" t="s">
        <v>34</v>
      </c>
      <c r="MY5" s="1" t="s">
        <v>40</v>
      </c>
      <c r="MZ5" s="1" t="s">
        <v>16</v>
      </c>
      <c r="NA5" s="1" t="s">
        <v>46</v>
      </c>
      <c r="NB5" s="1" t="s">
        <v>16</v>
      </c>
      <c r="NC5" s="1" t="s">
        <v>15</v>
      </c>
      <c r="ND5" s="1" t="s">
        <v>46</v>
      </c>
      <c r="NE5" s="1" t="s">
        <v>22</v>
      </c>
      <c r="NF5" s="1" t="s">
        <v>22</v>
      </c>
      <c r="NG5" s="1" t="s">
        <v>22</v>
      </c>
      <c r="NH5" s="1" t="s">
        <v>34</v>
      </c>
      <c r="NI5" s="1" t="s">
        <v>16</v>
      </c>
      <c r="NJ5" s="1" t="s">
        <v>22</v>
      </c>
      <c r="NK5" s="1" t="s">
        <v>37</v>
      </c>
      <c r="NL5" s="1" t="s">
        <v>40</v>
      </c>
      <c r="NM5" s="1" t="s">
        <v>37</v>
      </c>
      <c r="NN5" s="1" t="s">
        <v>22</v>
      </c>
      <c r="NO5" s="1" t="s">
        <v>40</v>
      </c>
      <c r="NP5" s="1" t="s">
        <v>15</v>
      </c>
      <c r="NQ5" s="1" t="s">
        <v>37</v>
      </c>
      <c r="NR5" s="1" t="s">
        <v>16</v>
      </c>
      <c r="NS5" s="1" t="s">
        <v>16</v>
      </c>
      <c r="NT5" s="1" t="s">
        <v>37</v>
      </c>
      <c r="NU5" s="1" t="s">
        <v>22</v>
      </c>
      <c r="NV5" s="1" t="s">
        <v>16</v>
      </c>
      <c r="NW5" s="1" t="s">
        <v>15</v>
      </c>
      <c r="NX5" s="1" t="s">
        <v>46</v>
      </c>
      <c r="NY5" s="1" t="s">
        <v>22</v>
      </c>
      <c r="NZ5" s="1" t="s">
        <v>15</v>
      </c>
      <c r="OA5" s="1" t="s">
        <v>40</v>
      </c>
      <c r="OB5" s="1" t="s">
        <v>15</v>
      </c>
      <c r="OC5" s="1" t="s">
        <v>22</v>
      </c>
      <c r="OD5" s="1" t="s">
        <v>40</v>
      </c>
      <c r="OE5" s="1" t="s">
        <v>22</v>
      </c>
      <c r="OF5" s="1" t="s">
        <v>16</v>
      </c>
      <c r="OG5" s="1" t="s">
        <v>46</v>
      </c>
      <c r="OH5" s="1" t="s">
        <v>22</v>
      </c>
      <c r="OI5" s="1" t="s">
        <v>22</v>
      </c>
      <c r="OJ5" s="1" t="s">
        <v>16</v>
      </c>
      <c r="OK5" s="1" t="s">
        <v>34</v>
      </c>
      <c r="OL5" s="1" t="s">
        <v>16</v>
      </c>
      <c r="OM5" s="1" t="s">
        <v>40</v>
      </c>
      <c r="ON5" s="1" t="s">
        <v>16</v>
      </c>
      <c r="OO5" s="1" t="s">
        <v>16</v>
      </c>
      <c r="OP5" s="1" t="s">
        <v>46</v>
      </c>
      <c r="OQ5" s="1" t="s">
        <v>16</v>
      </c>
      <c r="OR5" s="1" t="s">
        <v>22</v>
      </c>
      <c r="OS5" s="1" t="s">
        <v>46</v>
      </c>
      <c r="OT5" s="1" t="s">
        <v>37</v>
      </c>
      <c r="OU5" s="1" t="s">
        <v>34</v>
      </c>
      <c r="OV5" s="1" t="s">
        <v>46</v>
      </c>
      <c r="OW5" s="1" t="s">
        <v>40</v>
      </c>
      <c r="OX5" s="1" t="s">
        <v>37</v>
      </c>
      <c r="OY5" s="1" t="s">
        <v>46</v>
      </c>
      <c r="OZ5" s="1" t="s">
        <v>46</v>
      </c>
      <c r="PA5" s="1" t="s">
        <v>34</v>
      </c>
      <c r="PB5" s="1" t="s">
        <v>22</v>
      </c>
      <c r="PC5" s="1" t="s">
        <v>40</v>
      </c>
      <c r="PD5" s="1" t="s">
        <v>15</v>
      </c>
      <c r="PE5" s="1" t="s">
        <v>15</v>
      </c>
      <c r="PF5" s="1" t="s">
        <v>46</v>
      </c>
      <c r="PG5" s="1" t="s">
        <v>16</v>
      </c>
      <c r="PH5" s="1" t="s">
        <v>40</v>
      </c>
      <c r="PI5" s="1" t="s">
        <v>37</v>
      </c>
      <c r="PJ5" s="1" t="s">
        <v>16</v>
      </c>
      <c r="PK5" s="1" t="s">
        <v>16</v>
      </c>
      <c r="PL5" s="1" t="s">
        <v>40</v>
      </c>
      <c r="PM5" s="1" t="s">
        <v>22</v>
      </c>
      <c r="PN5" s="1" t="s">
        <v>46</v>
      </c>
      <c r="PO5" s="1" t="s">
        <v>46</v>
      </c>
      <c r="PP5" s="1" t="s">
        <v>46</v>
      </c>
      <c r="PQ5" s="1" t="s">
        <v>46</v>
      </c>
      <c r="PR5" s="1" t="s">
        <v>15</v>
      </c>
      <c r="PS5" s="1" t="s">
        <v>46</v>
      </c>
      <c r="PT5" s="1" t="s">
        <v>15</v>
      </c>
      <c r="PU5" s="1" t="s">
        <v>15</v>
      </c>
      <c r="PV5" s="1" t="s">
        <v>22</v>
      </c>
      <c r="PW5" s="1" t="s">
        <v>46</v>
      </c>
      <c r="PX5" s="1" t="s">
        <v>34</v>
      </c>
      <c r="PY5" s="1" t="s">
        <v>37</v>
      </c>
      <c r="PZ5" s="1" t="s">
        <v>16</v>
      </c>
      <c r="QA5" s="1" t="s">
        <v>15</v>
      </c>
      <c r="QB5" s="1" t="s">
        <v>40</v>
      </c>
      <c r="QC5" s="1" t="s">
        <v>40</v>
      </c>
      <c r="QD5" s="1" t="s">
        <v>37</v>
      </c>
      <c r="QE5" s="1" t="s">
        <v>40</v>
      </c>
      <c r="QF5" s="1" t="s">
        <v>34</v>
      </c>
      <c r="QG5" s="1" t="s">
        <v>40</v>
      </c>
      <c r="QH5" s="1" t="s">
        <v>16</v>
      </c>
      <c r="QI5" s="1" t="s">
        <v>16</v>
      </c>
      <c r="QJ5" s="1" t="s">
        <v>15</v>
      </c>
      <c r="QK5" s="1" t="s">
        <v>46</v>
      </c>
      <c r="QL5" s="1" t="s">
        <v>22</v>
      </c>
      <c r="QM5" s="1" t="s">
        <v>34</v>
      </c>
      <c r="QN5" s="1" t="s">
        <v>15</v>
      </c>
      <c r="QO5" s="1" t="s">
        <v>34</v>
      </c>
      <c r="QP5" s="1" t="s">
        <v>46</v>
      </c>
      <c r="QQ5" s="1" t="s">
        <v>40</v>
      </c>
      <c r="QR5" s="1" t="s">
        <v>40</v>
      </c>
      <c r="QS5" s="1" t="s">
        <v>22</v>
      </c>
      <c r="QT5" s="1" t="s">
        <v>46</v>
      </c>
      <c r="QU5" s="1" t="s">
        <v>15</v>
      </c>
      <c r="QV5" s="1" t="s">
        <v>22</v>
      </c>
      <c r="QW5" s="1" t="s">
        <v>46</v>
      </c>
      <c r="QX5" s="1" t="s">
        <v>37</v>
      </c>
      <c r="QY5" s="1" t="s">
        <v>16</v>
      </c>
      <c r="QZ5" s="1" t="s">
        <v>22</v>
      </c>
      <c r="RA5" s="1" t="s">
        <v>22</v>
      </c>
      <c r="RB5" s="1" t="s">
        <v>15</v>
      </c>
      <c r="RC5" s="1" t="s">
        <v>34</v>
      </c>
      <c r="RD5" s="1" t="s">
        <v>37</v>
      </c>
      <c r="RE5" s="1" t="s">
        <v>15</v>
      </c>
      <c r="RF5" s="1" t="s">
        <v>46</v>
      </c>
      <c r="RG5" s="1" t="s">
        <v>46</v>
      </c>
      <c r="RH5" s="1" t="s">
        <v>46</v>
      </c>
      <c r="RI5" s="1" t="s">
        <v>46</v>
      </c>
      <c r="RJ5" s="1" t="s">
        <v>34</v>
      </c>
      <c r="RK5" s="1" t="s">
        <v>37</v>
      </c>
      <c r="RL5" s="1" t="s">
        <v>40</v>
      </c>
      <c r="RM5" s="1" t="s">
        <v>16</v>
      </c>
      <c r="RN5" s="1" t="s">
        <v>34</v>
      </c>
      <c r="RO5" s="1" t="s">
        <v>34</v>
      </c>
      <c r="RP5" s="1" t="s">
        <v>40</v>
      </c>
      <c r="RQ5" s="1" t="s">
        <v>40</v>
      </c>
      <c r="RR5" s="1" t="s">
        <v>16</v>
      </c>
      <c r="RS5" s="1" t="s">
        <v>16</v>
      </c>
      <c r="RT5" s="1" t="s">
        <v>40</v>
      </c>
      <c r="RU5" s="1" t="s">
        <v>46</v>
      </c>
      <c r="RV5" s="1" t="s">
        <v>34</v>
      </c>
      <c r="RW5" s="1" t="s">
        <v>15</v>
      </c>
      <c r="RX5" s="1" t="s">
        <v>16</v>
      </c>
      <c r="RY5" s="1" t="s">
        <v>16</v>
      </c>
      <c r="RZ5" s="1" t="s">
        <v>40</v>
      </c>
      <c r="SA5" s="1" t="s">
        <v>37</v>
      </c>
      <c r="SB5" s="1" t="s">
        <v>15</v>
      </c>
      <c r="SC5" s="1" t="s">
        <v>15</v>
      </c>
      <c r="SD5" s="1" t="s">
        <v>16</v>
      </c>
      <c r="SE5" s="1" t="s">
        <v>46</v>
      </c>
      <c r="SF5" s="1" t="s">
        <v>37</v>
      </c>
      <c r="SG5" s="1" t="s">
        <v>15</v>
      </c>
    </row>
    <row r="6" spans="1:501" x14ac:dyDescent="0.3">
      <c r="A6" s="3" t="s">
        <v>5</v>
      </c>
      <c r="B6" s="1" t="s">
        <v>16</v>
      </c>
      <c r="C6" s="1" t="s">
        <v>23</v>
      </c>
      <c r="D6" s="1" t="s">
        <v>29</v>
      </c>
      <c r="E6" s="1" t="s">
        <v>29</v>
      </c>
      <c r="F6" s="1" t="s">
        <v>38</v>
      </c>
      <c r="G6" s="1" t="s">
        <v>41</v>
      </c>
      <c r="H6" s="1" t="s">
        <v>41</v>
      </c>
      <c r="I6" s="1" t="s">
        <v>16</v>
      </c>
      <c r="J6" s="1" t="s">
        <v>29</v>
      </c>
      <c r="K6" s="1" t="s">
        <v>38</v>
      </c>
      <c r="L6" s="1" t="s">
        <v>38</v>
      </c>
      <c r="M6" s="1" t="s">
        <v>23</v>
      </c>
      <c r="N6" s="1" t="s">
        <v>23</v>
      </c>
      <c r="O6" s="1" t="s">
        <v>38</v>
      </c>
      <c r="P6" s="1" t="s">
        <v>23</v>
      </c>
      <c r="Q6" s="1" t="s">
        <v>29</v>
      </c>
      <c r="R6" s="1" t="s">
        <v>54</v>
      </c>
      <c r="S6" s="1" t="s">
        <v>29</v>
      </c>
      <c r="T6" s="1" t="s">
        <v>38</v>
      </c>
      <c r="U6" s="1" t="s">
        <v>38</v>
      </c>
      <c r="V6" s="1" t="s">
        <v>29</v>
      </c>
      <c r="W6" s="1" t="s">
        <v>23</v>
      </c>
      <c r="X6" s="1" t="s">
        <v>23</v>
      </c>
      <c r="Y6" s="1" t="s">
        <v>41</v>
      </c>
      <c r="Z6" s="1" t="s">
        <v>38</v>
      </c>
      <c r="AA6" s="1" t="s">
        <v>16</v>
      </c>
      <c r="AB6" s="1" t="s">
        <v>41</v>
      </c>
      <c r="AC6" s="1" t="s">
        <v>23</v>
      </c>
      <c r="AD6" s="1" t="s">
        <v>29</v>
      </c>
      <c r="AE6" s="1" t="s">
        <v>23</v>
      </c>
      <c r="AF6" s="1" t="s">
        <v>29</v>
      </c>
      <c r="AG6" s="1" t="s">
        <v>41</v>
      </c>
      <c r="AH6" s="1" t="s">
        <v>38</v>
      </c>
      <c r="AI6" s="1" t="s">
        <v>23</v>
      </c>
      <c r="AJ6" s="1" t="s">
        <v>29</v>
      </c>
      <c r="AK6" s="1" t="s">
        <v>38</v>
      </c>
      <c r="AL6" s="1" t="s">
        <v>16</v>
      </c>
      <c r="AM6" s="1" t="s">
        <v>29</v>
      </c>
      <c r="AN6" s="1" t="s">
        <v>41</v>
      </c>
      <c r="AO6" s="1" t="s">
        <v>16</v>
      </c>
      <c r="AP6" s="1" t="s">
        <v>16</v>
      </c>
      <c r="AQ6" s="1" t="s">
        <v>54</v>
      </c>
      <c r="AR6" s="1" t="s">
        <v>23</v>
      </c>
      <c r="AS6" s="1" t="s">
        <v>29</v>
      </c>
      <c r="AT6" s="1" t="s">
        <v>16</v>
      </c>
      <c r="AU6" s="1" t="s">
        <v>54</v>
      </c>
      <c r="AV6" s="1" t="s">
        <v>41</v>
      </c>
      <c r="AW6" s="1" t="s">
        <v>38</v>
      </c>
      <c r="AX6" s="1" t="s">
        <v>29</v>
      </c>
      <c r="AY6" s="1" t="s">
        <v>16</v>
      </c>
      <c r="AZ6" s="1" t="s">
        <v>23</v>
      </c>
      <c r="BA6" s="1" t="s">
        <v>54</v>
      </c>
      <c r="BB6" s="1" t="s">
        <v>16</v>
      </c>
      <c r="BC6" s="1" t="s">
        <v>23</v>
      </c>
      <c r="BD6" s="1" t="s">
        <v>16</v>
      </c>
      <c r="BE6" s="1" t="s">
        <v>29</v>
      </c>
      <c r="BF6" s="1" t="s">
        <v>29</v>
      </c>
      <c r="BG6" s="1" t="s">
        <v>29</v>
      </c>
      <c r="BH6" s="1" t="s">
        <v>41</v>
      </c>
      <c r="BI6" s="1" t="s">
        <v>41</v>
      </c>
      <c r="BJ6" s="1" t="s">
        <v>54</v>
      </c>
      <c r="BK6" s="1" t="s">
        <v>29</v>
      </c>
      <c r="BL6" s="1" t="s">
        <v>23</v>
      </c>
      <c r="BM6" s="1" t="s">
        <v>16</v>
      </c>
      <c r="BN6" s="1" t="s">
        <v>38</v>
      </c>
      <c r="BO6" s="1" t="s">
        <v>23</v>
      </c>
      <c r="BP6" s="1" t="s">
        <v>41</v>
      </c>
      <c r="BQ6" s="1" t="s">
        <v>41</v>
      </c>
      <c r="BR6" s="1" t="s">
        <v>23</v>
      </c>
      <c r="BS6" s="1" t="s">
        <v>41</v>
      </c>
      <c r="BT6" s="1" t="s">
        <v>29</v>
      </c>
      <c r="BU6" s="1" t="s">
        <v>54</v>
      </c>
      <c r="BV6" s="1" t="s">
        <v>16</v>
      </c>
      <c r="BW6" s="1" t="s">
        <v>54</v>
      </c>
      <c r="BX6" s="1" t="s">
        <v>16</v>
      </c>
      <c r="BY6" s="1" t="s">
        <v>16</v>
      </c>
      <c r="BZ6" s="1" t="s">
        <v>54</v>
      </c>
      <c r="CA6" s="1" t="s">
        <v>23</v>
      </c>
      <c r="CB6" s="1" t="s">
        <v>16</v>
      </c>
      <c r="CC6" s="1" t="s">
        <v>54</v>
      </c>
      <c r="CD6" s="1" t="s">
        <v>16</v>
      </c>
      <c r="CE6" s="1" t="s">
        <v>38</v>
      </c>
      <c r="CF6" s="1" t="s">
        <v>23</v>
      </c>
      <c r="CG6" s="1" t="s">
        <v>29</v>
      </c>
      <c r="CH6" s="1" t="s">
        <v>16</v>
      </c>
      <c r="CI6" s="1" t="s">
        <v>38</v>
      </c>
      <c r="CJ6" s="1" t="s">
        <v>29</v>
      </c>
      <c r="CK6" s="1" t="s">
        <v>29</v>
      </c>
      <c r="CL6" s="1" t="s">
        <v>16</v>
      </c>
      <c r="CM6" s="1" t="s">
        <v>54</v>
      </c>
      <c r="CN6" s="1" t="s">
        <v>16</v>
      </c>
      <c r="CO6" s="1" t="s">
        <v>38</v>
      </c>
      <c r="CP6" s="1" t="s">
        <v>29</v>
      </c>
      <c r="CQ6" s="1" t="s">
        <v>16</v>
      </c>
      <c r="CR6" s="1" t="s">
        <v>54</v>
      </c>
      <c r="CS6" s="1" t="s">
        <v>16</v>
      </c>
      <c r="CT6" s="1" t="s">
        <v>23</v>
      </c>
      <c r="CU6" s="1" t="s">
        <v>54</v>
      </c>
      <c r="CV6" s="1" t="s">
        <v>38</v>
      </c>
      <c r="CW6" s="1" t="s">
        <v>29</v>
      </c>
      <c r="CX6" s="1" t="s">
        <v>16</v>
      </c>
      <c r="CY6" s="1" t="s">
        <v>54</v>
      </c>
      <c r="CZ6" s="1" t="s">
        <v>23</v>
      </c>
      <c r="DA6" s="1" t="s">
        <v>54</v>
      </c>
      <c r="DB6" s="1" t="s">
        <v>41</v>
      </c>
      <c r="DC6" s="1" t="s">
        <v>23</v>
      </c>
      <c r="DD6" s="1" t="s">
        <v>38</v>
      </c>
      <c r="DE6" s="1" t="s">
        <v>29</v>
      </c>
      <c r="DF6" s="1" t="s">
        <v>38</v>
      </c>
      <c r="DG6" s="1" t="s">
        <v>16</v>
      </c>
      <c r="DH6" s="1" t="s">
        <v>54</v>
      </c>
      <c r="DI6" s="1" t="s">
        <v>41</v>
      </c>
      <c r="DJ6" s="1" t="s">
        <v>23</v>
      </c>
      <c r="DK6" s="1" t="s">
        <v>23</v>
      </c>
      <c r="DL6" s="1" t="s">
        <v>54</v>
      </c>
      <c r="DM6" s="1" t="s">
        <v>41</v>
      </c>
      <c r="DN6" s="1" t="s">
        <v>54</v>
      </c>
      <c r="DO6" s="1" t="s">
        <v>16</v>
      </c>
      <c r="DP6" s="1" t="s">
        <v>38</v>
      </c>
      <c r="DQ6" s="1" t="s">
        <v>23</v>
      </c>
      <c r="DR6" s="1" t="s">
        <v>16</v>
      </c>
      <c r="DS6" s="1" t="s">
        <v>38</v>
      </c>
      <c r="DT6" s="1" t="s">
        <v>16</v>
      </c>
      <c r="DU6" s="1" t="s">
        <v>41</v>
      </c>
      <c r="DV6" s="1" t="s">
        <v>23</v>
      </c>
      <c r="DW6" s="1" t="s">
        <v>54</v>
      </c>
      <c r="DX6" s="1" t="s">
        <v>54</v>
      </c>
      <c r="DY6" s="1" t="s">
        <v>38</v>
      </c>
      <c r="DZ6" s="1" t="s">
        <v>29</v>
      </c>
      <c r="EA6" s="1" t="s">
        <v>41</v>
      </c>
      <c r="EB6" s="1" t="s">
        <v>38</v>
      </c>
      <c r="EC6" s="1" t="s">
        <v>29</v>
      </c>
      <c r="ED6" s="1" t="s">
        <v>16</v>
      </c>
      <c r="EE6" s="1" t="s">
        <v>41</v>
      </c>
      <c r="EF6" s="1" t="s">
        <v>16</v>
      </c>
      <c r="EG6" s="1" t="s">
        <v>23</v>
      </c>
      <c r="EH6" s="1" t="s">
        <v>41</v>
      </c>
      <c r="EI6" s="1" t="s">
        <v>29</v>
      </c>
      <c r="EJ6" s="1" t="s">
        <v>23</v>
      </c>
      <c r="EK6" s="1" t="s">
        <v>54</v>
      </c>
      <c r="EL6" s="1" t="s">
        <v>29</v>
      </c>
      <c r="EM6" s="1" t="s">
        <v>38</v>
      </c>
      <c r="EN6" s="1" t="s">
        <v>54</v>
      </c>
      <c r="EO6" s="1" t="s">
        <v>54</v>
      </c>
      <c r="EP6" s="1" t="s">
        <v>38</v>
      </c>
      <c r="EQ6" s="1" t="s">
        <v>41</v>
      </c>
      <c r="ER6" s="1" t="s">
        <v>54</v>
      </c>
      <c r="ES6" s="1" t="s">
        <v>29</v>
      </c>
      <c r="ET6" s="1" t="s">
        <v>23</v>
      </c>
      <c r="EU6" s="1" t="s">
        <v>54</v>
      </c>
      <c r="EV6" s="1" t="s">
        <v>29</v>
      </c>
      <c r="EW6" s="1" t="s">
        <v>16</v>
      </c>
      <c r="EX6" s="1" t="s">
        <v>29</v>
      </c>
      <c r="EY6" s="1" t="s">
        <v>23</v>
      </c>
      <c r="EZ6" s="1" t="s">
        <v>29</v>
      </c>
      <c r="FA6" s="1" t="s">
        <v>38</v>
      </c>
      <c r="FB6" s="1" t="s">
        <v>23</v>
      </c>
      <c r="FC6" s="1" t="s">
        <v>41</v>
      </c>
      <c r="FD6" s="1" t="s">
        <v>16</v>
      </c>
      <c r="FE6" s="1" t="s">
        <v>38</v>
      </c>
      <c r="FF6" s="1" t="s">
        <v>41</v>
      </c>
      <c r="FG6" s="1" t="s">
        <v>29</v>
      </c>
      <c r="FH6" s="1" t="s">
        <v>23</v>
      </c>
      <c r="FI6" s="1" t="s">
        <v>16</v>
      </c>
      <c r="FJ6" s="1" t="s">
        <v>38</v>
      </c>
      <c r="FK6" s="1" t="s">
        <v>41</v>
      </c>
      <c r="FL6" s="1" t="s">
        <v>41</v>
      </c>
      <c r="FM6" s="1" t="s">
        <v>16</v>
      </c>
      <c r="FN6" s="1" t="s">
        <v>29</v>
      </c>
      <c r="FO6" s="1" t="s">
        <v>16</v>
      </c>
      <c r="FP6" s="1" t="s">
        <v>41</v>
      </c>
      <c r="FQ6" s="1" t="s">
        <v>54</v>
      </c>
      <c r="FR6" s="1" t="s">
        <v>38</v>
      </c>
      <c r="FS6" s="1" t="s">
        <v>16</v>
      </c>
      <c r="FT6" s="1" t="s">
        <v>41</v>
      </c>
      <c r="FU6" s="1" t="s">
        <v>29</v>
      </c>
      <c r="FV6" s="1" t="s">
        <v>41</v>
      </c>
      <c r="FW6" s="1" t="s">
        <v>29</v>
      </c>
      <c r="FX6" s="1" t="s">
        <v>16</v>
      </c>
      <c r="FY6" s="1" t="s">
        <v>29</v>
      </c>
      <c r="FZ6" s="1" t="s">
        <v>23</v>
      </c>
      <c r="GA6" s="1" t="s">
        <v>23</v>
      </c>
      <c r="GB6" s="1" t="s">
        <v>23</v>
      </c>
      <c r="GC6" s="1" t="s">
        <v>54</v>
      </c>
      <c r="GD6" s="1" t="s">
        <v>16</v>
      </c>
      <c r="GE6" s="1" t="s">
        <v>41</v>
      </c>
      <c r="GF6" s="1" t="s">
        <v>41</v>
      </c>
      <c r="GG6" s="1" t="s">
        <v>54</v>
      </c>
      <c r="GH6" s="1" t="s">
        <v>29</v>
      </c>
      <c r="GI6" s="1" t="s">
        <v>54</v>
      </c>
      <c r="GJ6" s="1" t="s">
        <v>29</v>
      </c>
      <c r="GK6" s="1" t="s">
        <v>29</v>
      </c>
      <c r="GL6" s="1" t="s">
        <v>38</v>
      </c>
      <c r="GM6" s="1" t="s">
        <v>41</v>
      </c>
      <c r="GN6" s="1" t="s">
        <v>23</v>
      </c>
      <c r="GO6" s="1" t="s">
        <v>29</v>
      </c>
      <c r="GP6" s="1" t="s">
        <v>38</v>
      </c>
      <c r="GQ6" s="1" t="s">
        <v>41</v>
      </c>
      <c r="GR6" s="1" t="s">
        <v>23</v>
      </c>
      <c r="GS6" s="1" t="s">
        <v>29</v>
      </c>
      <c r="GT6" s="1" t="s">
        <v>29</v>
      </c>
      <c r="GU6" s="1" t="s">
        <v>54</v>
      </c>
      <c r="GV6" s="1" t="s">
        <v>54</v>
      </c>
      <c r="GW6" s="1" t="s">
        <v>41</v>
      </c>
      <c r="GX6" s="1" t="s">
        <v>23</v>
      </c>
      <c r="GY6" s="1" t="s">
        <v>29</v>
      </c>
      <c r="GZ6" s="1" t="s">
        <v>41</v>
      </c>
      <c r="HA6" s="1" t="s">
        <v>41</v>
      </c>
      <c r="HB6" s="1" t="s">
        <v>16</v>
      </c>
      <c r="HC6" s="1" t="s">
        <v>54</v>
      </c>
      <c r="HD6" s="1" t="s">
        <v>23</v>
      </c>
      <c r="HE6" s="1" t="s">
        <v>29</v>
      </c>
      <c r="HF6" s="1" t="s">
        <v>41</v>
      </c>
      <c r="HG6" s="1" t="s">
        <v>29</v>
      </c>
      <c r="HH6" s="1" t="s">
        <v>16</v>
      </c>
      <c r="HI6" s="1" t="s">
        <v>23</v>
      </c>
      <c r="HJ6" s="1" t="s">
        <v>41</v>
      </c>
      <c r="HK6" s="1" t="s">
        <v>29</v>
      </c>
      <c r="HL6" s="1" t="s">
        <v>54</v>
      </c>
      <c r="HM6" s="1" t="s">
        <v>16</v>
      </c>
      <c r="HN6" s="1" t="s">
        <v>23</v>
      </c>
      <c r="HO6" s="1" t="s">
        <v>16</v>
      </c>
      <c r="HP6" s="1" t="s">
        <v>54</v>
      </c>
      <c r="HQ6" s="1" t="s">
        <v>23</v>
      </c>
      <c r="HR6" s="1" t="s">
        <v>16</v>
      </c>
      <c r="HS6" s="1" t="s">
        <v>38</v>
      </c>
      <c r="HT6" s="1" t="s">
        <v>54</v>
      </c>
      <c r="HU6" s="1" t="s">
        <v>54</v>
      </c>
      <c r="HV6" s="1" t="s">
        <v>54</v>
      </c>
      <c r="HW6" s="1" t="s">
        <v>38</v>
      </c>
      <c r="HX6" s="1" t="s">
        <v>38</v>
      </c>
      <c r="HY6" s="1" t="s">
        <v>29</v>
      </c>
      <c r="HZ6" s="1" t="s">
        <v>41</v>
      </c>
      <c r="IA6" s="1" t="s">
        <v>16</v>
      </c>
      <c r="IB6" s="1" t="s">
        <v>29</v>
      </c>
      <c r="IC6" s="1" t="s">
        <v>16</v>
      </c>
      <c r="ID6" s="1" t="s">
        <v>41</v>
      </c>
      <c r="IE6" s="1" t="s">
        <v>38</v>
      </c>
      <c r="IF6" s="1" t="s">
        <v>41</v>
      </c>
      <c r="IG6" s="1" t="s">
        <v>38</v>
      </c>
      <c r="IH6" s="1" t="s">
        <v>41</v>
      </c>
      <c r="II6" s="1" t="s">
        <v>29</v>
      </c>
      <c r="IJ6" s="1" t="s">
        <v>23</v>
      </c>
      <c r="IK6" s="1" t="s">
        <v>29</v>
      </c>
      <c r="IL6" s="1" t="s">
        <v>16</v>
      </c>
      <c r="IM6" s="1" t="s">
        <v>29</v>
      </c>
      <c r="IN6" s="1" t="s">
        <v>54</v>
      </c>
      <c r="IO6" s="1" t="s">
        <v>16</v>
      </c>
      <c r="IP6" s="1" t="s">
        <v>41</v>
      </c>
      <c r="IQ6" s="1" t="s">
        <v>16</v>
      </c>
      <c r="IR6" s="1" t="s">
        <v>23</v>
      </c>
      <c r="IS6" s="1" t="s">
        <v>38</v>
      </c>
      <c r="IT6" s="1" t="s">
        <v>41</v>
      </c>
      <c r="IU6" s="1" t="s">
        <v>16</v>
      </c>
      <c r="IV6" s="1" t="s">
        <v>41</v>
      </c>
      <c r="IW6" s="1" t="s">
        <v>41</v>
      </c>
      <c r="IX6" s="1" t="s">
        <v>41</v>
      </c>
      <c r="IY6" s="1" t="s">
        <v>38</v>
      </c>
      <c r="IZ6" s="1" t="s">
        <v>29</v>
      </c>
      <c r="JA6" s="1" t="s">
        <v>41</v>
      </c>
      <c r="JB6" s="1" t="s">
        <v>54</v>
      </c>
      <c r="JC6" s="1" t="s">
        <v>23</v>
      </c>
      <c r="JD6" s="1" t="s">
        <v>38</v>
      </c>
      <c r="JE6" s="1" t="s">
        <v>16</v>
      </c>
      <c r="JF6" s="1" t="s">
        <v>38</v>
      </c>
      <c r="JG6" s="1" t="s">
        <v>16</v>
      </c>
      <c r="JH6" s="1" t="s">
        <v>38</v>
      </c>
      <c r="JI6" s="1" t="s">
        <v>16</v>
      </c>
      <c r="JJ6" s="1" t="s">
        <v>41</v>
      </c>
      <c r="JK6" s="1" t="s">
        <v>29</v>
      </c>
      <c r="JL6" s="1" t="s">
        <v>16</v>
      </c>
      <c r="JM6" s="1" t="s">
        <v>16</v>
      </c>
      <c r="JN6" s="1" t="s">
        <v>54</v>
      </c>
      <c r="JO6" s="1" t="s">
        <v>16</v>
      </c>
      <c r="JP6" s="1" t="s">
        <v>54</v>
      </c>
      <c r="JQ6" s="1" t="s">
        <v>23</v>
      </c>
      <c r="JR6" s="1" t="s">
        <v>41</v>
      </c>
      <c r="JS6" s="1" t="s">
        <v>54</v>
      </c>
      <c r="JT6" s="1" t="s">
        <v>29</v>
      </c>
      <c r="JU6" s="1" t="s">
        <v>41</v>
      </c>
      <c r="JV6" s="1" t="s">
        <v>54</v>
      </c>
      <c r="JW6" s="1" t="s">
        <v>41</v>
      </c>
      <c r="JX6" s="1" t="s">
        <v>41</v>
      </c>
      <c r="JY6" s="1" t="s">
        <v>41</v>
      </c>
      <c r="JZ6" s="1" t="s">
        <v>23</v>
      </c>
      <c r="KA6" s="1" t="s">
        <v>29</v>
      </c>
      <c r="KB6" s="1" t="s">
        <v>38</v>
      </c>
      <c r="KC6" s="1" t="s">
        <v>38</v>
      </c>
      <c r="KD6" s="1" t="s">
        <v>54</v>
      </c>
      <c r="KE6" s="1" t="s">
        <v>41</v>
      </c>
      <c r="KF6" s="1" t="s">
        <v>54</v>
      </c>
      <c r="KG6" s="1" t="s">
        <v>23</v>
      </c>
      <c r="KH6" s="1" t="s">
        <v>23</v>
      </c>
      <c r="KI6" s="1" t="s">
        <v>16</v>
      </c>
      <c r="KJ6" s="1" t="s">
        <v>23</v>
      </c>
      <c r="KK6" s="1" t="s">
        <v>16</v>
      </c>
      <c r="KL6" s="1" t="s">
        <v>29</v>
      </c>
      <c r="KM6" s="1" t="s">
        <v>54</v>
      </c>
      <c r="KN6" s="1" t="s">
        <v>29</v>
      </c>
      <c r="KO6" s="1" t="s">
        <v>23</v>
      </c>
      <c r="KP6" s="1" t="s">
        <v>29</v>
      </c>
      <c r="KQ6" s="1" t="s">
        <v>29</v>
      </c>
      <c r="KR6" s="1" t="s">
        <v>29</v>
      </c>
      <c r="KS6" s="1" t="s">
        <v>23</v>
      </c>
      <c r="KT6" s="1" t="s">
        <v>41</v>
      </c>
      <c r="KU6" s="1" t="s">
        <v>29</v>
      </c>
      <c r="KV6" s="1" t="s">
        <v>16</v>
      </c>
      <c r="KW6" s="1" t="s">
        <v>23</v>
      </c>
      <c r="KX6" s="1" t="s">
        <v>29</v>
      </c>
      <c r="KY6" s="1" t="s">
        <v>41</v>
      </c>
      <c r="KZ6" s="1" t="s">
        <v>23</v>
      </c>
      <c r="LA6" s="1" t="s">
        <v>38</v>
      </c>
      <c r="LB6" s="1" t="s">
        <v>41</v>
      </c>
      <c r="LC6" s="1" t="s">
        <v>16</v>
      </c>
      <c r="LD6" s="1" t="s">
        <v>29</v>
      </c>
      <c r="LE6" s="1" t="s">
        <v>38</v>
      </c>
      <c r="LF6" s="1" t="s">
        <v>38</v>
      </c>
      <c r="LG6" s="1" t="s">
        <v>23</v>
      </c>
      <c r="LH6" s="1" t="s">
        <v>38</v>
      </c>
      <c r="LI6" s="1" t="s">
        <v>16</v>
      </c>
      <c r="LJ6" s="1" t="s">
        <v>16</v>
      </c>
      <c r="LK6" s="1" t="s">
        <v>54</v>
      </c>
      <c r="LL6" s="1" t="s">
        <v>16</v>
      </c>
      <c r="LM6" s="1" t="s">
        <v>41</v>
      </c>
      <c r="LN6" s="1" t="s">
        <v>38</v>
      </c>
      <c r="LO6" s="1" t="s">
        <v>16</v>
      </c>
      <c r="LP6" s="1" t="s">
        <v>23</v>
      </c>
      <c r="LQ6" s="1" t="s">
        <v>54</v>
      </c>
      <c r="LR6" s="1" t="s">
        <v>38</v>
      </c>
      <c r="LS6" s="1" t="s">
        <v>54</v>
      </c>
      <c r="LT6" s="1" t="s">
        <v>38</v>
      </c>
      <c r="LU6" s="1" t="s">
        <v>23</v>
      </c>
      <c r="LV6" s="1" t="s">
        <v>54</v>
      </c>
      <c r="LW6" s="1" t="s">
        <v>29</v>
      </c>
      <c r="LX6" s="1" t="s">
        <v>41</v>
      </c>
      <c r="LY6" s="1" t="s">
        <v>41</v>
      </c>
      <c r="LZ6" s="1" t="s">
        <v>38</v>
      </c>
      <c r="MA6" s="1" t="s">
        <v>29</v>
      </c>
      <c r="MB6" s="1" t="s">
        <v>54</v>
      </c>
      <c r="MC6" s="1" t="s">
        <v>29</v>
      </c>
      <c r="MD6" s="1" t="s">
        <v>29</v>
      </c>
      <c r="ME6" s="1" t="s">
        <v>54</v>
      </c>
      <c r="MF6" s="1" t="s">
        <v>23</v>
      </c>
      <c r="MG6" s="1" t="s">
        <v>29</v>
      </c>
      <c r="MH6" s="1" t="s">
        <v>29</v>
      </c>
      <c r="MI6" s="1" t="s">
        <v>23</v>
      </c>
      <c r="MJ6" s="1" t="s">
        <v>29</v>
      </c>
      <c r="MK6" s="1" t="s">
        <v>29</v>
      </c>
      <c r="ML6" s="1" t="s">
        <v>29</v>
      </c>
      <c r="MM6" s="1" t="s">
        <v>41</v>
      </c>
      <c r="MN6" s="1" t="s">
        <v>16</v>
      </c>
      <c r="MO6" s="1" t="s">
        <v>23</v>
      </c>
      <c r="MP6" s="1" t="s">
        <v>29</v>
      </c>
      <c r="MQ6" s="1" t="s">
        <v>41</v>
      </c>
      <c r="MR6" s="1" t="s">
        <v>23</v>
      </c>
      <c r="MS6" s="1" t="s">
        <v>38</v>
      </c>
      <c r="MT6" s="1" t="s">
        <v>38</v>
      </c>
      <c r="MU6" s="1" t="s">
        <v>29</v>
      </c>
      <c r="MV6" s="1" t="s">
        <v>41</v>
      </c>
      <c r="MW6" s="1" t="s">
        <v>41</v>
      </c>
      <c r="MX6" s="1" t="s">
        <v>23</v>
      </c>
      <c r="MY6" s="1" t="s">
        <v>23</v>
      </c>
      <c r="MZ6" s="1" t="s">
        <v>41</v>
      </c>
      <c r="NA6" s="1" t="s">
        <v>23</v>
      </c>
      <c r="NB6" s="1" t="s">
        <v>41</v>
      </c>
      <c r="NC6" s="1" t="s">
        <v>16</v>
      </c>
      <c r="ND6" s="1" t="s">
        <v>41</v>
      </c>
      <c r="NE6" s="1" t="s">
        <v>38</v>
      </c>
      <c r="NF6" s="1" t="s">
        <v>23</v>
      </c>
      <c r="NG6" s="1" t="s">
        <v>41</v>
      </c>
      <c r="NH6" s="1" t="s">
        <v>41</v>
      </c>
      <c r="NI6" s="1" t="s">
        <v>23</v>
      </c>
      <c r="NJ6" s="1" t="s">
        <v>16</v>
      </c>
      <c r="NK6" s="1" t="s">
        <v>16</v>
      </c>
      <c r="NL6" s="1" t="s">
        <v>23</v>
      </c>
      <c r="NM6" s="1" t="s">
        <v>54</v>
      </c>
      <c r="NN6" s="1" t="s">
        <v>23</v>
      </c>
      <c r="NO6" s="1" t="s">
        <v>23</v>
      </c>
      <c r="NP6" s="1" t="s">
        <v>16</v>
      </c>
      <c r="NQ6" s="1" t="s">
        <v>16</v>
      </c>
      <c r="NR6" s="1" t="s">
        <v>23</v>
      </c>
      <c r="NS6" s="1" t="s">
        <v>23</v>
      </c>
      <c r="NT6" s="1" t="s">
        <v>23</v>
      </c>
      <c r="NU6" s="1" t="s">
        <v>16</v>
      </c>
      <c r="NV6" s="1" t="s">
        <v>23</v>
      </c>
      <c r="NW6" s="1" t="s">
        <v>23</v>
      </c>
      <c r="NX6" s="1" t="s">
        <v>29</v>
      </c>
      <c r="NY6" s="1" t="s">
        <v>54</v>
      </c>
      <c r="NZ6" s="1" t="s">
        <v>38</v>
      </c>
      <c r="OA6" s="1" t="s">
        <v>54</v>
      </c>
      <c r="OB6" s="1" t="s">
        <v>29</v>
      </c>
      <c r="OC6" s="1" t="s">
        <v>38</v>
      </c>
      <c r="OD6" s="1" t="s">
        <v>23</v>
      </c>
      <c r="OE6" s="1" t="s">
        <v>29</v>
      </c>
      <c r="OF6" s="1" t="s">
        <v>23</v>
      </c>
      <c r="OG6" s="1" t="s">
        <v>16</v>
      </c>
      <c r="OH6" s="1" t="s">
        <v>41</v>
      </c>
      <c r="OI6" s="1" t="s">
        <v>29</v>
      </c>
      <c r="OJ6" s="1" t="s">
        <v>16</v>
      </c>
      <c r="OK6" s="1" t="s">
        <v>29</v>
      </c>
      <c r="OL6" s="1" t="s">
        <v>29</v>
      </c>
      <c r="OM6" s="1" t="s">
        <v>16</v>
      </c>
      <c r="ON6" s="1" t="s">
        <v>38</v>
      </c>
      <c r="OO6" s="1" t="s">
        <v>54</v>
      </c>
      <c r="OP6" s="1" t="s">
        <v>23</v>
      </c>
      <c r="OQ6" s="1" t="s">
        <v>29</v>
      </c>
      <c r="OR6" s="1" t="s">
        <v>23</v>
      </c>
      <c r="OS6" s="1" t="s">
        <v>41</v>
      </c>
      <c r="OT6" s="1" t="s">
        <v>16</v>
      </c>
      <c r="OU6" s="1" t="s">
        <v>23</v>
      </c>
      <c r="OV6" s="1" t="s">
        <v>16</v>
      </c>
      <c r="OW6" s="1" t="s">
        <v>23</v>
      </c>
      <c r="OX6" s="1" t="s">
        <v>54</v>
      </c>
      <c r="OY6" s="1" t="s">
        <v>54</v>
      </c>
      <c r="OZ6" s="1" t="s">
        <v>54</v>
      </c>
      <c r="PA6" s="1" t="s">
        <v>54</v>
      </c>
      <c r="PB6" s="1" t="s">
        <v>54</v>
      </c>
      <c r="PC6" s="1" t="s">
        <v>54</v>
      </c>
      <c r="PD6" s="1" t="s">
        <v>16</v>
      </c>
      <c r="PE6" s="1" t="s">
        <v>29</v>
      </c>
      <c r="PF6" s="1" t="s">
        <v>23</v>
      </c>
      <c r="PG6" s="1" t="s">
        <v>54</v>
      </c>
      <c r="PH6" s="1" t="s">
        <v>16</v>
      </c>
      <c r="PI6" s="1" t="s">
        <v>16</v>
      </c>
      <c r="PJ6" s="1" t="s">
        <v>16</v>
      </c>
      <c r="PK6" s="1" t="s">
        <v>29</v>
      </c>
      <c r="PL6" s="1" t="s">
        <v>23</v>
      </c>
      <c r="PM6" s="1" t="s">
        <v>29</v>
      </c>
      <c r="PN6" s="1" t="s">
        <v>38</v>
      </c>
      <c r="PO6" s="1" t="s">
        <v>16</v>
      </c>
      <c r="PP6" s="1" t="s">
        <v>38</v>
      </c>
      <c r="PQ6" s="1" t="s">
        <v>41</v>
      </c>
      <c r="PR6" s="1" t="s">
        <v>54</v>
      </c>
      <c r="PS6" s="1" t="s">
        <v>54</v>
      </c>
      <c r="PT6" s="1" t="s">
        <v>29</v>
      </c>
      <c r="PU6" s="1" t="s">
        <v>23</v>
      </c>
      <c r="PV6" s="1" t="s">
        <v>38</v>
      </c>
      <c r="PW6" s="1" t="s">
        <v>23</v>
      </c>
      <c r="PX6" s="1" t="s">
        <v>29</v>
      </c>
      <c r="PY6" s="1" t="s">
        <v>54</v>
      </c>
      <c r="PZ6" s="1" t="s">
        <v>23</v>
      </c>
      <c r="QA6" s="1" t="s">
        <v>23</v>
      </c>
      <c r="QB6" s="1" t="s">
        <v>54</v>
      </c>
      <c r="QC6" s="1" t="s">
        <v>38</v>
      </c>
      <c r="QD6" s="1" t="s">
        <v>54</v>
      </c>
      <c r="QE6" s="1" t="s">
        <v>23</v>
      </c>
      <c r="QF6" s="1" t="s">
        <v>38</v>
      </c>
      <c r="QG6" s="1" t="s">
        <v>38</v>
      </c>
      <c r="QH6" s="1" t="s">
        <v>54</v>
      </c>
      <c r="QI6" s="1" t="s">
        <v>23</v>
      </c>
      <c r="QJ6" s="1" t="s">
        <v>29</v>
      </c>
      <c r="QK6" s="1" t="s">
        <v>23</v>
      </c>
      <c r="QL6" s="1" t="s">
        <v>16</v>
      </c>
      <c r="QM6" s="1" t="s">
        <v>41</v>
      </c>
      <c r="QN6" s="1" t="s">
        <v>29</v>
      </c>
      <c r="QO6" s="1" t="s">
        <v>38</v>
      </c>
      <c r="QP6" s="1" t="s">
        <v>29</v>
      </c>
      <c r="QQ6" s="1" t="s">
        <v>38</v>
      </c>
      <c r="QR6" s="1" t="s">
        <v>38</v>
      </c>
      <c r="QS6" s="1" t="s">
        <v>29</v>
      </c>
      <c r="QT6" s="1" t="s">
        <v>38</v>
      </c>
      <c r="QU6" s="1" t="s">
        <v>38</v>
      </c>
      <c r="QV6" s="1" t="s">
        <v>16</v>
      </c>
      <c r="QW6" s="1" t="s">
        <v>23</v>
      </c>
      <c r="QX6" s="1" t="s">
        <v>23</v>
      </c>
      <c r="QY6" s="1" t="s">
        <v>41</v>
      </c>
      <c r="QZ6" s="1" t="s">
        <v>41</v>
      </c>
      <c r="RA6" s="1" t="s">
        <v>16</v>
      </c>
      <c r="RB6" s="1" t="s">
        <v>41</v>
      </c>
      <c r="RC6" s="1" t="s">
        <v>29</v>
      </c>
      <c r="RD6" s="1" t="s">
        <v>54</v>
      </c>
      <c r="RE6" s="1" t="s">
        <v>54</v>
      </c>
      <c r="RF6" s="1" t="s">
        <v>54</v>
      </c>
      <c r="RG6" s="1" t="s">
        <v>16</v>
      </c>
      <c r="RH6" s="1" t="s">
        <v>16</v>
      </c>
      <c r="RI6" s="1" t="s">
        <v>38</v>
      </c>
      <c r="RJ6" s="1" t="s">
        <v>54</v>
      </c>
      <c r="RK6" s="1" t="s">
        <v>29</v>
      </c>
      <c r="RL6" s="1" t="s">
        <v>41</v>
      </c>
      <c r="RM6" s="1" t="s">
        <v>29</v>
      </c>
      <c r="RN6" s="1" t="s">
        <v>41</v>
      </c>
      <c r="RO6" s="1" t="s">
        <v>54</v>
      </c>
      <c r="RP6" s="1" t="s">
        <v>54</v>
      </c>
      <c r="RQ6" s="1" t="s">
        <v>54</v>
      </c>
      <c r="RR6" s="1" t="s">
        <v>16</v>
      </c>
      <c r="RS6" s="1" t="s">
        <v>41</v>
      </c>
      <c r="RT6" s="1" t="s">
        <v>16</v>
      </c>
      <c r="RU6" s="1" t="s">
        <v>16</v>
      </c>
      <c r="RV6" s="1" t="s">
        <v>23</v>
      </c>
      <c r="RW6" s="1" t="s">
        <v>29</v>
      </c>
      <c r="RX6" s="1" t="s">
        <v>29</v>
      </c>
      <c r="RY6" s="1" t="s">
        <v>38</v>
      </c>
      <c r="RZ6" s="1" t="s">
        <v>16</v>
      </c>
      <c r="SA6" s="1" t="s">
        <v>41</v>
      </c>
      <c r="SB6" s="1" t="s">
        <v>23</v>
      </c>
      <c r="SC6" s="1" t="s">
        <v>23</v>
      </c>
      <c r="SD6" s="1" t="s">
        <v>29</v>
      </c>
      <c r="SE6" s="1" t="s">
        <v>16</v>
      </c>
      <c r="SF6" s="1" t="s">
        <v>38</v>
      </c>
      <c r="SG6" s="1" t="s">
        <v>16</v>
      </c>
    </row>
    <row r="7" spans="1:501" x14ac:dyDescent="0.3">
      <c r="A7" s="3" t="s">
        <v>6</v>
      </c>
      <c r="B7" s="1" t="s">
        <v>17</v>
      </c>
      <c r="C7" s="1" t="s">
        <v>24</v>
      </c>
      <c r="D7" s="1" t="s">
        <v>30</v>
      </c>
      <c r="E7" s="1" t="s">
        <v>24</v>
      </c>
      <c r="F7" s="1" t="s">
        <v>30</v>
      </c>
      <c r="G7" s="1" t="s">
        <v>24</v>
      </c>
      <c r="H7" s="1" t="s">
        <v>17</v>
      </c>
      <c r="I7" s="1" t="s">
        <v>24</v>
      </c>
      <c r="J7" s="1" t="s">
        <v>24</v>
      </c>
      <c r="K7" s="1" t="s">
        <v>24</v>
      </c>
      <c r="L7" s="1" t="s">
        <v>17</v>
      </c>
      <c r="M7" s="1" t="s">
        <v>24</v>
      </c>
      <c r="N7" s="1" t="s">
        <v>17</v>
      </c>
      <c r="O7" s="1" t="s">
        <v>30</v>
      </c>
      <c r="P7" s="1" t="s">
        <v>24</v>
      </c>
      <c r="Q7" s="1" t="s">
        <v>17</v>
      </c>
      <c r="R7" s="1" t="s">
        <v>17</v>
      </c>
      <c r="S7" s="1" t="s">
        <v>24</v>
      </c>
      <c r="T7" s="1" t="s">
        <v>30</v>
      </c>
      <c r="U7" s="1" t="s">
        <v>17</v>
      </c>
      <c r="V7" s="1" t="s">
        <v>24</v>
      </c>
      <c r="W7" s="1" t="s">
        <v>30</v>
      </c>
      <c r="X7" s="1" t="s">
        <v>17</v>
      </c>
      <c r="Y7" s="1" t="s">
        <v>17</v>
      </c>
      <c r="Z7" s="1" t="s">
        <v>30</v>
      </c>
      <c r="AA7" s="1" t="s">
        <v>30</v>
      </c>
      <c r="AB7" s="1" t="s">
        <v>24</v>
      </c>
      <c r="AC7" s="1" t="s">
        <v>24</v>
      </c>
      <c r="AD7" s="1" t="s">
        <v>17</v>
      </c>
      <c r="AE7" s="1" t="s">
        <v>30</v>
      </c>
      <c r="AF7" s="1" t="s">
        <v>30</v>
      </c>
      <c r="AG7" s="1" t="s">
        <v>30</v>
      </c>
      <c r="AH7" s="1" t="s">
        <v>17</v>
      </c>
      <c r="AI7" s="1" t="s">
        <v>30</v>
      </c>
      <c r="AJ7" s="1" t="s">
        <v>30</v>
      </c>
      <c r="AK7" s="1" t="s">
        <v>17</v>
      </c>
      <c r="AL7" s="1" t="s">
        <v>24</v>
      </c>
      <c r="AM7" s="1" t="s">
        <v>24</v>
      </c>
      <c r="AN7" s="1" t="s">
        <v>17</v>
      </c>
      <c r="AO7" s="1" t="s">
        <v>30</v>
      </c>
      <c r="AP7" s="1" t="s">
        <v>17</v>
      </c>
      <c r="AQ7" s="1" t="s">
        <v>24</v>
      </c>
      <c r="AR7" s="1" t="s">
        <v>24</v>
      </c>
      <c r="AS7" s="1" t="s">
        <v>17</v>
      </c>
      <c r="AT7" s="1" t="s">
        <v>17</v>
      </c>
      <c r="AU7" s="1" t="s">
        <v>24</v>
      </c>
      <c r="AV7" s="1" t="s">
        <v>17</v>
      </c>
      <c r="AW7" s="1" t="s">
        <v>24</v>
      </c>
      <c r="AX7" s="1" t="s">
        <v>17</v>
      </c>
      <c r="AY7" s="1" t="s">
        <v>17</v>
      </c>
      <c r="AZ7" s="1" t="s">
        <v>17</v>
      </c>
      <c r="BA7" s="1" t="s">
        <v>24</v>
      </c>
      <c r="BB7" s="1" t="s">
        <v>17</v>
      </c>
      <c r="BC7" s="1" t="s">
        <v>24</v>
      </c>
      <c r="BD7" s="1" t="s">
        <v>24</v>
      </c>
      <c r="BE7" s="1" t="s">
        <v>17</v>
      </c>
      <c r="BF7" s="1" t="s">
        <v>17</v>
      </c>
      <c r="BG7" s="1" t="s">
        <v>24</v>
      </c>
      <c r="BH7" s="1" t="s">
        <v>24</v>
      </c>
      <c r="BI7" s="1" t="s">
        <v>30</v>
      </c>
      <c r="BJ7" s="1" t="s">
        <v>24</v>
      </c>
      <c r="BK7" s="1" t="s">
        <v>30</v>
      </c>
      <c r="BL7" s="1" t="s">
        <v>30</v>
      </c>
      <c r="BM7" s="1" t="s">
        <v>30</v>
      </c>
      <c r="BN7" s="1" t="s">
        <v>17</v>
      </c>
      <c r="BO7" s="1" t="s">
        <v>17</v>
      </c>
      <c r="BP7" s="1" t="s">
        <v>24</v>
      </c>
      <c r="BQ7" s="1" t="s">
        <v>30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30</v>
      </c>
      <c r="BX7" s="1" t="s">
        <v>30</v>
      </c>
      <c r="BY7" s="1" t="s">
        <v>30</v>
      </c>
      <c r="BZ7" s="1" t="s">
        <v>30</v>
      </c>
      <c r="CA7" s="1" t="s">
        <v>24</v>
      </c>
      <c r="CB7" s="1" t="s">
        <v>30</v>
      </c>
      <c r="CC7" s="1" t="s">
        <v>17</v>
      </c>
      <c r="CD7" s="1" t="s">
        <v>30</v>
      </c>
      <c r="CE7" s="1" t="s">
        <v>24</v>
      </c>
      <c r="CF7" s="1" t="s">
        <v>17</v>
      </c>
      <c r="CG7" s="1" t="s">
        <v>30</v>
      </c>
      <c r="CH7" s="1" t="s">
        <v>30</v>
      </c>
      <c r="CI7" s="1" t="s">
        <v>30</v>
      </c>
      <c r="CJ7" s="1" t="s">
        <v>17</v>
      </c>
      <c r="CK7" s="1" t="s">
        <v>17</v>
      </c>
      <c r="CL7" s="1" t="s">
        <v>24</v>
      </c>
      <c r="CM7" s="1" t="s">
        <v>17</v>
      </c>
      <c r="CN7" s="1" t="s">
        <v>17</v>
      </c>
      <c r="CO7" s="1" t="s">
        <v>30</v>
      </c>
      <c r="CP7" s="1" t="s">
        <v>17</v>
      </c>
      <c r="CQ7" s="1" t="s">
        <v>30</v>
      </c>
      <c r="CR7" s="1" t="s">
        <v>30</v>
      </c>
      <c r="CS7" s="1" t="s">
        <v>17</v>
      </c>
      <c r="CT7" s="1" t="s">
        <v>24</v>
      </c>
      <c r="CU7" s="1" t="s">
        <v>24</v>
      </c>
      <c r="CV7" s="1" t="s">
        <v>17</v>
      </c>
      <c r="CW7" s="1" t="s">
        <v>24</v>
      </c>
      <c r="CX7" s="1" t="s">
        <v>30</v>
      </c>
      <c r="CY7" s="1" t="s">
        <v>30</v>
      </c>
      <c r="CZ7" s="1" t="s">
        <v>17</v>
      </c>
      <c r="DA7" s="1" t="s">
        <v>24</v>
      </c>
      <c r="DB7" s="1" t="s">
        <v>24</v>
      </c>
      <c r="DC7" s="1" t="s">
        <v>30</v>
      </c>
      <c r="DD7" s="1" t="s">
        <v>17</v>
      </c>
      <c r="DE7" s="1" t="s">
        <v>24</v>
      </c>
      <c r="DF7" s="1" t="s">
        <v>17</v>
      </c>
      <c r="DG7" s="1" t="s">
        <v>24</v>
      </c>
      <c r="DH7" s="1" t="s">
        <v>30</v>
      </c>
      <c r="DI7" s="1" t="s">
        <v>30</v>
      </c>
      <c r="DJ7" s="1" t="s">
        <v>17</v>
      </c>
      <c r="DK7" s="1" t="s">
        <v>30</v>
      </c>
      <c r="DL7" s="1" t="s">
        <v>24</v>
      </c>
      <c r="DM7" s="1" t="s">
        <v>30</v>
      </c>
      <c r="DN7" s="1" t="s">
        <v>17</v>
      </c>
      <c r="DO7" s="1" t="s">
        <v>17</v>
      </c>
      <c r="DP7" s="1" t="s">
        <v>17</v>
      </c>
      <c r="DQ7" s="1" t="s">
        <v>24</v>
      </c>
      <c r="DR7" s="1" t="s">
        <v>24</v>
      </c>
      <c r="DS7" s="1" t="s">
        <v>24</v>
      </c>
      <c r="DT7" s="1" t="s">
        <v>24</v>
      </c>
      <c r="DU7" s="1" t="s">
        <v>24</v>
      </c>
      <c r="DV7" s="1" t="s">
        <v>30</v>
      </c>
      <c r="DW7" s="1" t="s">
        <v>24</v>
      </c>
      <c r="DX7" s="1" t="s">
        <v>24</v>
      </c>
      <c r="DY7" s="1" t="s">
        <v>30</v>
      </c>
      <c r="DZ7" s="1" t="s">
        <v>24</v>
      </c>
      <c r="EA7" s="1" t="s">
        <v>17</v>
      </c>
      <c r="EB7" s="1" t="s">
        <v>24</v>
      </c>
      <c r="EC7" s="1" t="s">
        <v>24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24</v>
      </c>
      <c r="EI7" s="1" t="s">
        <v>17</v>
      </c>
      <c r="EJ7" s="1" t="s">
        <v>17</v>
      </c>
      <c r="EK7" s="1" t="s">
        <v>30</v>
      </c>
      <c r="EL7" s="1" t="s">
        <v>17</v>
      </c>
      <c r="EM7" s="1" t="s">
        <v>17</v>
      </c>
      <c r="EN7" s="1" t="s">
        <v>30</v>
      </c>
      <c r="EO7" s="1" t="s">
        <v>30</v>
      </c>
      <c r="EP7" s="1" t="s">
        <v>24</v>
      </c>
      <c r="EQ7" s="1" t="s">
        <v>30</v>
      </c>
      <c r="ER7" s="1" t="s">
        <v>24</v>
      </c>
      <c r="ES7" s="1" t="s">
        <v>30</v>
      </c>
      <c r="ET7" s="1" t="s">
        <v>30</v>
      </c>
      <c r="EU7" s="1" t="s">
        <v>24</v>
      </c>
      <c r="EV7" s="1" t="s">
        <v>30</v>
      </c>
      <c r="EW7" s="1" t="s">
        <v>24</v>
      </c>
      <c r="EX7" s="1" t="s">
        <v>30</v>
      </c>
      <c r="EY7" s="1" t="s">
        <v>17</v>
      </c>
      <c r="EZ7" s="1" t="s">
        <v>30</v>
      </c>
      <c r="FA7" s="1" t="s">
        <v>24</v>
      </c>
      <c r="FB7" s="1" t="s">
        <v>30</v>
      </c>
      <c r="FC7" s="1" t="s">
        <v>24</v>
      </c>
      <c r="FD7" s="1" t="s">
        <v>24</v>
      </c>
      <c r="FE7" s="1" t="s">
        <v>17</v>
      </c>
      <c r="FF7" s="1" t="s">
        <v>17</v>
      </c>
      <c r="FG7" s="1" t="s">
        <v>24</v>
      </c>
      <c r="FH7" s="1" t="s">
        <v>30</v>
      </c>
      <c r="FI7" s="1" t="s">
        <v>24</v>
      </c>
      <c r="FJ7" s="1" t="s">
        <v>24</v>
      </c>
      <c r="FK7" s="1" t="s">
        <v>30</v>
      </c>
      <c r="FL7" s="1" t="s">
        <v>30</v>
      </c>
      <c r="FM7" s="1" t="s">
        <v>30</v>
      </c>
      <c r="FN7" s="1" t="s">
        <v>30</v>
      </c>
      <c r="FO7" s="1" t="s">
        <v>24</v>
      </c>
      <c r="FP7" s="1" t="s">
        <v>24</v>
      </c>
      <c r="FQ7" s="1" t="s">
        <v>17</v>
      </c>
      <c r="FR7" s="1" t="s">
        <v>24</v>
      </c>
      <c r="FS7" s="1" t="s">
        <v>30</v>
      </c>
      <c r="FT7" s="1" t="s">
        <v>17</v>
      </c>
      <c r="FU7" s="1" t="s">
        <v>30</v>
      </c>
      <c r="FV7" s="1" t="s">
        <v>24</v>
      </c>
      <c r="FW7" s="1" t="s">
        <v>17</v>
      </c>
      <c r="FX7" s="1" t="s">
        <v>30</v>
      </c>
      <c r="FY7" s="1" t="s">
        <v>17</v>
      </c>
      <c r="FZ7" s="1" t="s">
        <v>17</v>
      </c>
      <c r="GA7" s="1" t="s">
        <v>24</v>
      </c>
      <c r="GB7" s="1" t="s">
        <v>30</v>
      </c>
      <c r="GC7" s="1" t="s">
        <v>17</v>
      </c>
      <c r="GD7" s="1" t="s">
        <v>17</v>
      </c>
      <c r="GE7" s="1" t="s">
        <v>30</v>
      </c>
      <c r="GF7" s="1" t="s">
        <v>17</v>
      </c>
      <c r="GG7" s="1" t="s">
        <v>17</v>
      </c>
      <c r="GH7" s="1" t="s">
        <v>17</v>
      </c>
      <c r="GI7" s="1" t="s">
        <v>30</v>
      </c>
      <c r="GJ7" s="1" t="s">
        <v>30</v>
      </c>
      <c r="GK7" s="1" t="s">
        <v>30</v>
      </c>
      <c r="GL7" s="1" t="s">
        <v>30</v>
      </c>
      <c r="GM7" s="1" t="s">
        <v>24</v>
      </c>
      <c r="GN7" s="1" t="s">
        <v>17</v>
      </c>
      <c r="GO7" s="1" t="s">
        <v>30</v>
      </c>
      <c r="GP7" s="1" t="s">
        <v>17</v>
      </c>
      <c r="GQ7" s="1" t="s">
        <v>17</v>
      </c>
      <c r="GR7" s="1" t="s">
        <v>24</v>
      </c>
      <c r="GS7" s="1" t="s">
        <v>30</v>
      </c>
      <c r="GT7" s="1" t="s">
        <v>30</v>
      </c>
      <c r="GU7" s="1" t="s">
        <v>17</v>
      </c>
      <c r="GV7" s="1" t="s">
        <v>30</v>
      </c>
      <c r="GW7" s="1" t="s">
        <v>17</v>
      </c>
      <c r="GX7" s="1" t="s">
        <v>17</v>
      </c>
      <c r="GY7" s="1" t="s">
        <v>24</v>
      </c>
      <c r="GZ7" s="1" t="s">
        <v>24</v>
      </c>
      <c r="HA7" s="1" t="s">
        <v>24</v>
      </c>
      <c r="HB7" s="1" t="s">
        <v>17</v>
      </c>
      <c r="HC7" s="1" t="s">
        <v>30</v>
      </c>
      <c r="HD7" s="1" t="s">
        <v>24</v>
      </c>
      <c r="HE7" s="1" t="s">
        <v>30</v>
      </c>
      <c r="HF7" s="1" t="s">
        <v>24</v>
      </c>
      <c r="HG7" s="1" t="s">
        <v>24</v>
      </c>
      <c r="HH7" s="1" t="s">
        <v>17</v>
      </c>
      <c r="HI7" s="1" t="s">
        <v>24</v>
      </c>
      <c r="HJ7" s="1" t="s">
        <v>24</v>
      </c>
      <c r="HK7" s="1" t="s">
        <v>17</v>
      </c>
      <c r="HL7" s="1" t="s">
        <v>30</v>
      </c>
      <c r="HM7" s="1" t="s">
        <v>24</v>
      </c>
      <c r="HN7" s="1" t="s">
        <v>17</v>
      </c>
      <c r="HO7" s="1" t="s">
        <v>24</v>
      </c>
      <c r="HP7" s="1" t="s">
        <v>17</v>
      </c>
      <c r="HQ7" s="1" t="s">
        <v>30</v>
      </c>
      <c r="HR7" s="1" t="s">
        <v>30</v>
      </c>
      <c r="HS7" s="1" t="s">
        <v>17</v>
      </c>
      <c r="HT7" s="1" t="s">
        <v>17</v>
      </c>
      <c r="HU7" s="1" t="s">
        <v>17</v>
      </c>
      <c r="HV7" s="1" t="s">
        <v>30</v>
      </c>
      <c r="HW7" s="1" t="s">
        <v>24</v>
      </c>
      <c r="HX7" s="1" t="s">
        <v>30</v>
      </c>
      <c r="HY7" s="1" t="s">
        <v>17</v>
      </c>
      <c r="HZ7" s="1" t="s">
        <v>17</v>
      </c>
      <c r="IA7" s="1" t="s">
        <v>30</v>
      </c>
      <c r="IB7" s="1" t="s">
        <v>17</v>
      </c>
      <c r="IC7" s="1" t="s">
        <v>30</v>
      </c>
      <c r="ID7" s="1" t="s">
        <v>17</v>
      </c>
      <c r="IE7" s="1" t="s">
        <v>24</v>
      </c>
      <c r="IF7" s="1" t="s">
        <v>24</v>
      </c>
      <c r="IG7" s="1" t="s">
        <v>17</v>
      </c>
      <c r="IH7" s="1" t="s">
        <v>30</v>
      </c>
      <c r="II7" s="1" t="s">
        <v>24</v>
      </c>
      <c r="IJ7" s="1" t="s">
        <v>30</v>
      </c>
      <c r="IK7" s="1" t="s">
        <v>17</v>
      </c>
      <c r="IL7" s="1" t="s">
        <v>30</v>
      </c>
      <c r="IM7" s="1" t="s">
        <v>24</v>
      </c>
      <c r="IN7" s="1" t="s">
        <v>30</v>
      </c>
      <c r="IO7" s="1" t="s">
        <v>30</v>
      </c>
      <c r="IP7" s="1" t="s">
        <v>17</v>
      </c>
      <c r="IQ7" s="1" t="s">
        <v>17</v>
      </c>
      <c r="IR7" s="1" t="s">
        <v>17</v>
      </c>
      <c r="IS7" s="1" t="s">
        <v>24</v>
      </c>
      <c r="IT7" s="1" t="s">
        <v>24</v>
      </c>
      <c r="IU7" s="1" t="s">
        <v>17</v>
      </c>
      <c r="IV7" s="1" t="s">
        <v>17</v>
      </c>
      <c r="IW7" s="1" t="s">
        <v>24</v>
      </c>
      <c r="IX7" s="1" t="s">
        <v>24</v>
      </c>
      <c r="IY7" s="1" t="s">
        <v>24</v>
      </c>
      <c r="IZ7" s="1" t="s">
        <v>24</v>
      </c>
      <c r="JA7" s="1" t="s">
        <v>17</v>
      </c>
      <c r="JB7" s="1" t="s">
        <v>24</v>
      </c>
      <c r="JC7" s="1" t="s">
        <v>17</v>
      </c>
      <c r="JD7" s="1" t="s">
        <v>30</v>
      </c>
      <c r="JE7" s="1" t="s">
        <v>30</v>
      </c>
      <c r="JF7" s="1" t="s">
        <v>24</v>
      </c>
      <c r="JG7" s="1" t="s">
        <v>30</v>
      </c>
      <c r="JH7" s="1" t="s">
        <v>30</v>
      </c>
      <c r="JI7" s="1" t="s">
        <v>30</v>
      </c>
      <c r="JJ7" s="1" t="s">
        <v>24</v>
      </c>
      <c r="JK7" s="1" t="s">
        <v>24</v>
      </c>
      <c r="JL7" s="1" t="s">
        <v>30</v>
      </c>
      <c r="JM7" s="1" t="s">
        <v>17</v>
      </c>
      <c r="JN7" s="1" t="s">
        <v>30</v>
      </c>
      <c r="JO7" s="1" t="s">
        <v>24</v>
      </c>
      <c r="JP7" s="1" t="s">
        <v>24</v>
      </c>
      <c r="JQ7" s="1" t="s">
        <v>24</v>
      </c>
      <c r="JR7" s="1" t="s">
        <v>30</v>
      </c>
      <c r="JS7" s="1" t="s">
        <v>17</v>
      </c>
      <c r="JT7" s="1" t="s">
        <v>24</v>
      </c>
      <c r="JU7" s="1" t="s">
        <v>24</v>
      </c>
      <c r="JV7" s="1" t="s">
        <v>30</v>
      </c>
      <c r="JW7" s="1" t="s">
        <v>17</v>
      </c>
      <c r="JX7" s="1" t="s">
        <v>30</v>
      </c>
      <c r="JY7" s="1" t="s">
        <v>24</v>
      </c>
      <c r="JZ7" s="1" t="s">
        <v>17</v>
      </c>
      <c r="KA7" s="1" t="s">
        <v>17</v>
      </c>
      <c r="KB7" s="1" t="s">
        <v>24</v>
      </c>
      <c r="KC7" s="1" t="s">
        <v>17</v>
      </c>
      <c r="KD7" s="1" t="s">
        <v>17</v>
      </c>
      <c r="KE7" s="1" t="s">
        <v>30</v>
      </c>
      <c r="KF7" s="1" t="s">
        <v>24</v>
      </c>
      <c r="KG7" s="1" t="s">
        <v>24</v>
      </c>
      <c r="KH7" s="1" t="s">
        <v>24</v>
      </c>
      <c r="KI7" s="1" t="s">
        <v>24</v>
      </c>
      <c r="KJ7" s="1" t="s">
        <v>24</v>
      </c>
      <c r="KK7" s="1" t="s">
        <v>17</v>
      </c>
      <c r="KL7" s="1" t="s">
        <v>30</v>
      </c>
      <c r="KM7" s="1" t="s">
        <v>24</v>
      </c>
      <c r="KN7" s="1" t="s">
        <v>30</v>
      </c>
      <c r="KO7" s="1" t="s">
        <v>30</v>
      </c>
      <c r="KP7" s="1" t="s">
        <v>17</v>
      </c>
      <c r="KQ7" s="1" t="s">
        <v>24</v>
      </c>
      <c r="KR7" s="1" t="s">
        <v>17</v>
      </c>
      <c r="KS7" s="1" t="s">
        <v>24</v>
      </c>
      <c r="KT7" s="1" t="s">
        <v>17</v>
      </c>
      <c r="KU7" s="1" t="s">
        <v>30</v>
      </c>
      <c r="KV7" s="1" t="s">
        <v>24</v>
      </c>
      <c r="KW7" s="1" t="s">
        <v>30</v>
      </c>
      <c r="KX7" s="1" t="s">
        <v>30</v>
      </c>
      <c r="KY7" s="1" t="s">
        <v>17</v>
      </c>
      <c r="KZ7" s="1" t="s">
        <v>24</v>
      </c>
      <c r="LA7" s="1" t="s">
        <v>30</v>
      </c>
      <c r="LB7" s="1" t="s">
        <v>17</v>
      </c>
      <c r="LC7" s="1" t="s">
        <v>24</v>
      </c>
      <c r="LD7" s="1" t="s">
        <v>24</v>
      </c>
      <c r="LE7" s="1" t="s">
        <v>30</v>
      </c>
      <c r="LF7" s="1" t="s">
        <v>24</v>
      </c>
      <c r="LG7" s="1" t="s">
        <v>30</v>
      </c>
      <c r="LH7" s="1" t="s">
        <v>24</v>
      </c>
      <c r="LI7" s="1" t="s">
        <v>17</v>
      </c>
      <c r="LJ7" s="1" t="s">
        <v>30</v>
      </c>
      <c r="LK7" s="1" t="s">
        <v>30</v>
      </c>
      <c r="LL7" s="1" t="s">
        <v>24</v>
      </c>
      <c r="LM7" s="1" t="s">
        <v>24</v>
      </c>
      <c r="LN7" s="1" t="s">
        <v>30</v>
      </c>
      <c r="LO7" s="1" t="s">
        <v>24</v>
      </c>
      <c r="LP7" s="1" t="s">
        <v>17</v>
      </c>
      <c r="LQ7" s="1" t="s">
        <v>24</v>
      </c>
      <c r="LR7" s="1" t="s">
        <v>17</v>
      </c>
      <c r="LS7" s="1" t="s">
        <v>17</v>
      </c>
      <c r="LT7" s="1" t="s">
        <v>17</v>
      </c>
      <c r="LU7" s="1" t="s">
        <v>17</v>
      </c>
      <c r="LV7" s="1" t="s">
        <v>17</v>
      </c>
      <c r="LW7" s="1" t="s">
        <v>24</v>
      </c>
      <c r="LX7" s="1" t="s">
        <v>17</v>
      </c>
      <c r="LY7" s="1" t="s">
        <v>24</v>
      </c>
      <c r="LZ7" s="1" t="s">
        <v>17</v>
      </c>
      <c r="MA7" s="1" t="s">
        <v>30</v>
      </c>
      <c r="MB7" s="1" t="s">
        <v>17</v>
      </c>
      <c r="MC7" s="1" t="s">
        <v>30</v>
      </c>
      <c r="MD7" s="1" t="s">
        <v>17</v>
      </c>
      <c r="ME7" s="1" t="s">
        <v>17</v>
      </c>
      <c r="MF7" s="1" t="s">
        <v>17</v>
      </c>
      <c r="MG7" s="1" t="s">
        <v>30</v>
      </c>
      <c r="MH7" s="1" t="s">
        <v>30</v>
      </c>
      <c r="MI7" s="1" t="s">
        <v>17</v>
      </c>
      <c r="MJ7" s="1" t="s">
        <v>24</v>
      </c>
      <c r="MK7" s="1" t="s">
        <v>17</v>
      </c>
      <c r="ML7" s="1" t="s">
        <v>30</v>
      </c>
      <c r="MM7" s="1" t="s">
        <v>17</v>
      </c>
      <c r="MN7" s="1" t="s">
        <v>30</v>
      </c>
      <c r="MO7" s="1" t="s">
        <v>30</v>
      </c>
      <c r="MP7" s="1" t="s">
        <v>30</v>
      </c>
      <c r="MQ7" s="1" t="s">
        <v>17</v>
      </c>
      <c r="MR7" s="1" t="s">
        <v>30</v>
      </c>
      <c r="MS7" s="1" t="s">
        <v>30</v>
      </c>
      <c r="MT7" s="1" t="s">
        <v>17</v>
      </c>
      <c r="MU7" s="1" t="s">
        <v>30</v>
      </c>
      <c r="MV7" s="1" t="s">
        <v>17</v>
      </c>
      <c r="MW7" s="1" t="s">
        <v>30</v>
      </c>
      <c r="MX7" s="1" t="s">
        <v>24</v>
      </c>
      <c r="MY7" s="1" t="s">
        <v>24</v>
      </c>
      <c r="MZ7" s="1" t="s">
        <v>30</v>
      </c>
      <c r="NA7" s="1" t="s">
        <v>24</v>
      </c>
      <c r="NB7" s="1" t="s">
        <v>17</v>
      </c>
      <c r="NC7" s="1" t="s">
        <v>24</v>
      </c>
      <c r="ND7" s="1" t="s">
        <v>30</v>
      </c>
      <c r="NE7" s="1" t="s">
        <v>30</v>
      </c>
      <c r="NF7" s="1" t="s">
        <v>17</v>
      </c>
      <c r="NG7" s="1" t="s">
        <v>30</v>
      </c>
      <c r="NH7" s="1" t="s">
        <v>17</v>
      </c>
      <c r="NI7" s="1" t="s">
        <v>24</v>
      </c>
      <c r="NJ7" s="1" t="s">
        <v>24</v>
      </c>
      <c r="NK7" s="1" t="s">
        <v>17</v>
      </c>
      <c r="NL7" s="1" t="s">
        <v>17</v>
      </c>
      <c r="NM7" s="1" t="s">
        <v>30</v>
      </c>
      <c r="NN7" s="1" t="s">
        <v>24</v>
      </c>
      <c r="NO7" s="1" t="s">
        <v>17</v>
      </c>
      <c r="NP7" s="1" t="s">
        <v>24</v>
      </c>
      <c r="NQ7" s="1" t="s">
        <v>17</v>
      </c>
      <c r="NR7" s="1" t="s">
        <v>24</v>
      </c>
      <c r="NS7" s="1" t="s">
        <v>30</v>
      </c>
      <c r="NT7" s="1" t="s">
        <v>24</v>
      </c>
      <c r="NU7" s="1" t="s">
        <v>24</v>
      </c>
      <c r="NV7" s="1" t="s">
        <v>24</v>
      </c>
      <c r="NW7" s="1" t="s">
        <v>24</v>
      </c>
      <c r="NX7" s="1" t="s">
        <v>24</v>
      </c>
      <c r="NY7" s="1" t="s">
        <v>30</v>
      </c>
      <c r="NZ7" s="1" t="s">
        <v>17</v>
      </c>
      <c r="OA7" s="1" t="s">
        <v>24</v>
      </c>
      <c r="OB7" s="1" t="s">
        <v>30</v>
      </c>
      <c r="OC7" s="1" t="s">
        <v>24</v>
      </c>
      <c r="OD7" s="1" t="s">
        <v>24</v>
      </c>
      <c r="OE7" s="1" t="s">
        <v>17</v>
      </c>
      <c r="OF7" s="1" t="s">
        <v>24</v>
      </c>
      <c r="OG7" s="1" t="s">
        <v>30</v>
      </c>
      <c r="OH7" s="1" t="s">
        <v>30</v>
      </c>
      <c r="OI7" s="1" t="s">
        <v>17</v>
      </c>
      <c r="OJ7" s="1" t="s">
        <v>24</v>
      </c>
      <c r="OK7" s="1" t="s">
        <v>30</v>
      </c>
      <c r="OL7" s="1" t="s">
        <v>24</v>
      </c>
      <c r="OM7" s="1" t="s">
        <v>24</v>
      </c>
      <c r="ON7" s="1" t="s">
        <v>24</v>
      </c>
      <c r="OO7" s="1" t="s">
        <v>17</v>
      </c>
      <c r="OP7" s="1" t="s">
        <v>24</v>
      </c>
      <c r="OQ7" s="1" t="s">
        <v>30</v>
      </c>
      <c r="OR7" s="1" t="s">
        <v>24</v>
      </c>
      <c r="OS7" s="1" t="s">
        <v>30</v>
      </c>
      <c r="OT7" s="1" t="s">
        <v>24</v>
      </c>
      <c r="OU7" s="1" t="s">
        <v>30</v>
      </c>
      <c r="OV7" s="1" t="s">
        <v>30</v>
      </c>
      <c r="OW7" s="1" t="s">
        <v>24</v>
      </c>
      <c r="OX7" s="1" t="s">
        <v>24</v>
      </c>
      <c r="OY7" s="1" t="s">
        <v>30</v>
      </c>
      <c r="OZ7" s="1" t="s">
        <v>17</v>
      </c>
      <c r="PA7" s="1" t="s">
        <v>24</v>
      </c>
      <c r="PB7" s="1" t="s">
        <v>17</v>
      </c>
      <c r="PC7" s="1" t="s">
        <v>24</v>
      </c>
      <c r="PD7" s="1" t="s">
        <v>24</v>
      </c>
      <c r="PE7" s="1" t="s">
        <v>24</v>
      </c>
      <c r="PF7" s="1" t="s">
        <v>24</v>
      </c>
      <c r="PG7" s="1" t="s">
        <v>17</v>
      </c>
      <c r="PH7" s="1" t="s">
        <v>24</v>
      </c>
      <c r="PI7" s="1" t="s">
        <v>30</v>
      </c>
      <c r="PJ7" s="1" t="s">
        <v>30</v>
      </c>
      <c r="PK7" s="1" t="s">
        <v>17</v>
      </c>
      <c r="PL7" s="1" t="s">
        <v>24</v>
      </c>
      <c r="PM7" s="1" t="s">
        <v>30</v>
      </c>
      <c r="PN7" s="1" t="s">
        <v>17</v>
      </c>
      <c r="PO7" s="1" t="s">
        <v>24</v>
      </c>
      <c r="PP7" s="1" t="s">
        <v>30</v>
      </c>
      <c r="PQ7" s="1" t="s">
        <v>30</v>
      </c>
      <c r="PR7" s="1" t="s">
        <v>17</v>
      </c>
      <c r="PS7" s="1" t="s">
        <v>24</v>
      </c>
      <c r="PT7" s="1" t="s">
        <v>24</v>
      </c>
      <c r="PU7" s="1" t="s">
        <v>30</v>
      </c>
      <c r="PV7" s="1" t="s">
        <v>30</v>
      </c>
      <c r="PW7" s="1" t="s">
        <v>30</v>
      </c>
      <c r="PX7" s="1" t="s">
        <v>24</v>
      </c>
      <c r="PY7" s="1" t="s">
        <v>17</v>
      </c>
      <c r="PZ7" s="1" t="s">
        <v>17</v>
      </c>
      <c r="QA7" s="1" t="s">
        <v>24</v>
      </c>
      <c r="QB7" s="1" t="s">
        <v>17</v>
      </c>
      <c r="QC7" s="1" t="s">
        <v>30</v>
      </c>
      <c r="QD7" s="1" t="s">
        <v>17</v>
      </c>
      <c r="QE7" s="1" t="s">
        <v>17</v>
      </c>
      <c r="QF7" s="1" t="s">
        <v>17</v>
      </c>
      <c r="QG7" s="1" t="s">
        <v>30</v>
      </c>
      <c r="QH7" s="1" t="s">
        <v>24</v>
      </c>
      <c r="QI7" s="1" t="s">
        <v>30</v>
      </c>
      <c r="QJ7" s="1" t="s">
        <v>24</v>
      </c>
      <c r="QK7" s="1" t="s">
        <v>24</v>
      </c>
      <c r="QL7" s="1" t="s">
        <v>24</v>
      </c>
      <c r="QM7" s="1" t="s">
        <v>17</v>
      </c>
      <c r="QN7" s="1" t="s">
        <v>17</v>
      </c>
      <c r="QO7" s="1" t="s">
        <v>24</v>
      </c>
      <c r="QP7" s="1" t="s">
        <v>24</v>
      </c>
      <c r="QQ7" s="1" t="s">
        <v>17</v>
      </c>
      <c r="QR7" s="1" t="s">
        <v>30</v>
      </c>
      <c r="QS7" s="1" t="s">
        <v>24</v>
      </c>
      <c r="QT7" s="1" t="s">
        <v>30</v>
      </c>
      <c r="QU7" s="1" t="s">
        <v>17</v>
      </c>
      <c r="QV7" s="1" t="s">
        <v>24</v>
      </c>
      <c r="QW7" s="1" t="s">
        <v>30</v>
      </c>
      <c r="QX7" s="1" t="s">
        <v>30</v>
      </c>
      <c r="QY7" s="1" t="s">
        <v>30</v>
      </c>
      <c r="QZ7" s="1" t="s">
        <v>17</v>
      </c>
      <c r="RA7" s="1" t="s">
        <v>17</v>
      </c>
      <c r="RB7" s="1" t="s">
        <v>30</v>
      </c>
      <c r="RC7" s="1" t="s">
        <v>30</v>
      </c>
      <c r="RD7" s="1" t="s">
        <v>17</v>
      </c>
      <c r="RE7" s="1" t="s">
        <v>30</v>
      </c>
      <c r="RF7" s="1" t="s">
        <v>30</v>
      </c>
      <c r="RG7" s="1" t="s">
        <v>17</v>
      </c>
      <c r="RH7" s="1" t="s">
        <v>30</v>
      </c>
      <c r="RI7" s="1" t="s">
        <v>30</v>
      </c>
      <c r="RJ7" s="1" t="s">
        <v>30</v>
      </c>
      <c r="RK7" s="1" t="s">
        <v>17</v>
      </c>
      <c r="RL7" s="1" t="s">
        <v>30</v>
      </c>
      <c r="RM7" s="1" t="s">
        <v>17</v>
      </c>
      <c r="RN7" s="1" t="s">
        <v>17</v>
      </c>
      <c r="RO7" s="1" t="s">
        <v>24</v>
      </c>
      <c r="RP7" s="1" t="s">
        <v>24</v>
      </c>
      <c r="RQ7" s="1" t="s">
        <v>30</v>
      </c>
      <c r="RR7" s="1" t="s">
        <v>17</v>
      </c>
      <c r="RS7" s="1" t="s">
        <v>24</v>
      </c>
      <c r="RT7" s="1" t="s">
        <v>30</v>
      </c>
      <c r="RU7" s="1" t="s">
        <v>24</v>
      </c>
      <c r="RV7" s="1" t="s">
        <v>24</v>
      </c>
      <c r="RW7" s="1" t="s">
        <v>17</v>
      </c>
      <c r="RX7" s="1" t="s">
        <v>17</v>
      </c>
      <c r="RY7" s="1" t="s">
        <v>24</v>
      </c>
      <c r="RZ7" s="1" t="s">
        <v>24</v>
      </c>
      <c r="SA7" s="1" t="s">
        <v>17</v>
      </c>
      <c r="SB7" s="1" t="s">
        <v>30</v>
      </c>
      <c r="SC7" s="1" t="s">
        <v>17</v>
      </c>
      <c r="SD7" s="1" t="s">
        <v>24</v>
      </c>
      <c r="SE7" s="1" t="s">
        <v>30</v>
      </c>
      <c r="SF7" s="1" t="s">
        <v>24</v>
      </c>
      <c r="SG7" s="1" t="s">
        <v>30</v>
      </c>
    </row>
    <row r="8" spans="1:501" x14ac:dyDescent="0.3">
      <c r="A8" s="3" t="s">
        <v>7</v>
      </c>
      <c r="B8" s="1" t="s">
        <v>18</v>
      </c>
      <c r="C8" s="1" t="s">
        <v>25</v>
      </c>
      <c r="D8" s="1" t="s">
        <v>25</v>
      </c>
      <c r="E8" s="1" t="s">
        <v>35</v>
      </c>
      <c r="F8" s="1" t="s">
        <v>18</v>
      </c>
      <c r="G8" s="1" t="s">
        <v>42</v>
      </c>
      <c r="H8" s="1" t="s">
        <v>44</v>
      </c>
      <c r="I8" s="1" t="s">
        <v>18</v>
      </c>
      <c r="J8" s="1" t="s">
        <v>25</v>
      </c>
      <c r="K8" s="1" t="s">
        <v>35</v>
      </c>
      <c r="L8" s="1" t="s">
        <v>35</v>
      </c>
      <c r="M8" s="1" t="s">
        <v>44</v>
      </c>
      <c r="N8" s="1" t="s">
        <v>35</v>
      </c>
      <c r="O8" s="1" t="s">
        <v>35</v>
      </c>
      <c r="P8" s="1" t="s">
        <v>18</v>
      </c>
      <c r="Q8" s="1" t="s">
        <v>42</v>
      </c>
      <c r="R8" s="1" t="s">
        <v>44</v>
      </c>
      <c r="S8" s="1" t="s">
        <v>18</v>
      </c>
      <c r="T8" s="1" t="s">
        <v>42</v>
      </c>
      <c r="U8" s="1" t="s">
        <v>18</v>
      </c>
      <c r="V8" s="1" t="s">
        <v>18</v>
      </c>
      <c r="W8" s="1" t="s">
        <v>35</v>
      </c>
      <c r="X8" s="1" t="s">
        <v>42</v>
      </c>
      <c r="Y8" s="1" t="s">
        <v>44</v>
      </c>
      <c r="Z8" s="1" t="s">
        <v>44</v>
      </c>
      <c r="AA8" s="1" t="s">
        <v>42</v>
      </c>
      <c r="AB8" s="1" t="s">
        <v>35</v>
      </c>
      <c r="AC8" s="1" t="s">
        <v>25</v>
      </c>
      <c r="AD8" s="1" t="s">
        <v>18</v>
      </c>
      <c r="AE8" s="1" t="s">
        <v>35</v>
      </c>
      <c r="AF8" s="1" t="s">
        <v>42</v>
      </c>
      <c r="AG8" s="1" t="s">
        <v>18</v>
      </c>
      <c r="AH8" s="1" t="s">
        <v>44</v>
      </c>
      <c r="AI8" s="1" t="s">
        <v>25</v>
      </c>
      <c r="AJ8" s="1" t="s">
        <v>44</v>
      </c>
      <c r="AK8" s="1" t="s">
        <v>42</v>
      </c>
      <c r="AL8" s="1" t="s">
        <v>18</v>
      </c>
      <c r="AM8" s="1" t="s">
        <v>42</v>
      </c>
      <c r="AN8" s="1" t="s">
        <v>18</v>
      </c>
      <c r="AO8" s="1" t="s">
        <v>35</v>
      </c>
      <c r="AP8" s="1" t="s">
        <v>25</v>
      </c>
      <c r="AQ8" s="1" t="s">
        <v>35</v>
      </c>
      <c r="AR8" s="1" t="s">
        <v>35</v>
      </c>
      <c r="AS8" s="1" t="s">
        <v>42</v>
      </c>
      <c r="AT8" s="1" t="s">
        <v>25</v>
      </c>
      <c r="AU8" s="1" t="s">
        <v>18</v>
      </c>
      <c r="AV8" s="1" t="s">
        <v>18</v>
      </c>
      <c r="AW8" s="1" t="s">
        <v>44</v>
      </c>
      <c r="AX8" s="1" t="s">
        <v>18</v>
      </c>
      <c r="AY8" s="1" t="s">
        <v>42</v>
      </c>
      <c r="AZ8" s="1" t="s">
        <v>35</v>
      </c>
      <c r="BA8" s="1" t="s">
        <v>35</v>
      </c>
      <c r="BB8" s="1" t="s">
        <v>35</v>
      </c>
      <c r="BC8" s="1" t="s">
        <v>25</v>
      </c>
      <c r="BD8" s="1" t="s">
        <v>18</v>
      </c>
      <c r="BE8" s="1" t="s">
        <v>42</v>
      </c>
      <c r="BF8" s="1" t="s">
        <v>25</v>
      </c>
      <c r="BG8" s="1" t="s">
        <v>44</v>
      </c>
      <c r="BH8" s="1" t="s">
        <v>42</v>
      </c>
      <c r="BI8" s="1" t="s">
        <v>42</v>
      </c>
      <c r="BJ8" s="1" t="s">
        <v>42</v>
      </c>
      <c r="BK8" s="1" t="s">
        <v>35</v>
      </c>
      <c r="BL8" s="1" t="s">
        <v>42</v>
      </c>
      <c r="BM8" s="1" t="s">
        <v>18</v>
      </c>
      <c r="BN8" s="1" t="s">
        <v>42</v>
      </c>
      <c r="BO8" s="1" t="s">
        <v>35</v>
      </c>
      <c r="BP8" s="1" t="s">
        <v>42</v>
      </c>
      <c r="BQ8" s="1" t="s">
        <v>44</v>
      </c>
      <c r="BR8" s="1" t="s">
        <v>44</v>
      </c>
      <c r="BS8" s="1" t="s">
        <v>35</v>
      </c>
      <c r="BT8" s="1" t="s">
        <v>18</v>
      </c>
      <c r="BU8" s="1" t="s">
        <v>18</v>
      </c>
      <c r="BV8" s="1" t="s">
        <v>25</v>
      </c>
      <c r="BW8" s="1" t="s">
        <v>35</v>
      </c>
      <c r="BX8" s="1" t="s">
        <v>42</v>
      </c>
      <c r="BY8" s="1" t="s">
        <v>35</v>
      </c>
      <c r="BZ8" s="1" t="s">
        <v>25</v>
      </c>
      <c r="CA8" s="1" t="s">
        <v>35</v>
      </c>
      <c r="CB8" s="1" t="s">
        <v>35</v>
      </c>
      <c r="CC8" s="1" t="s">
        <v>25</v>
      </c>
      <c r="CD8" s="1" t="s">
        <v>18</v>
      </c>
      <c r="CE8" s="1" t="s">
        <v>42</v>
      </c>
      <c r="CF8" s="1" t="s">
        <v>25</v>
      </c>
      <c r="CG8" s="1" t="s">
        <v>44</v>
      </c>
      <c r="CH8" s="1" t="s">
        <v>18</v>
      </c>
      <c r="CI8" s="1" t="s">
        <v>44</v>
      </c>
      <c r="CJ8" s="1" t="s">
        <v>18</v>
      </c>
      <c r="CK8" s="1" t="s">
        <v>42</v>
      </c>
      <c r="CL8" s="1" t="s">
        <v>42</v>
      </c>
      <c r="CM8" s="1" t="s">
        <v>35</v>
      </c>
      <c r="CN8" s="1" t="s">
        <v>44</v>
      </c>
      <c r="CO8" s="1" t="s">
        <v>18</v>
      </c>
      <c r="CP8" s="1" t="s">
        <v>42</v>
      </c>
      <c r="CQ8" s="1" t="s">
        <v>25</v>
      </c>
      <c r="CR8" s="1" t="s">
        <v>42</v>
      </c>
      <c r="CS8" s="1" t="s">
        <v>25</v>
      </c>
      <c r="CT8" s="1" t="s">
        <v>18</v>
      </c>
      <c r="CU8" s="1" t="s">
        <v>42</v>
      </c>
      <c r="CV8" s="1" t="s">
        <v>42</v>
      </c>
      <c r="CW8" s="1" t="s">
        <v>18</v>
      </c>
      <c r="CX8" s="1" t="s">
        <v>42</v>
      </c>
      <c r="CY8" s="1" t="s">
        <v>25</v>
      </c>
      <c r="CZ8" s="1" t="s">
        <v>42</v>
      </c>
      <c r="DA8" s="1" t="s">
        <v>44</v>
      </c>
      <c r="DB8" s="1" t="s">
        <v>35</v>
      </c>
      <c r="DC8" s="1" t="s">
        <v>25</v>
      </c>
      <c r="DD8" s="1" t="s">
        <v>44</v>
      </c>
      <c r="DE8" s="1" t="s">
        <v>18</v>
      </c>
      <c r="DF8" s="1" t="s">
        <v>25</v>
      </c>
      <c r="DG8" s="1" t="s">
        <v>35</v>
      </c>
      <c r="DH8" s="1" t="s">
        <v>35</v>
      </c>
      <c r="DI8" s="1" t="s">
        <v>18</v>
      </c>
      <c r="DJ8" s="1" t="s">
        <v>18</v>
      </c>
      <c r="DK8" s="1" t="s">
        <v>25</v>
      </c>
      <c r="DL8" s="1" t="s">
        <v>42</v>
      </c>
      <c r="DM8" s="1" t="s">
        <v>18</v>
      </c>
      <c r="DN8" s="1" t="s">
        <v>42</v>
      </c>
      <c r="DO8" s="1" t="s">
        <v>44</v>
      </c>
      <c r="DP8" s="1" t="s">
        <v>35</v>
      </c>
      <c r="DQ8" s="1" t="s">
        <v>42</v>
      </c>
      <c r="DR8" s="1" t="s">
        <v>35</v>
      </c>
      <c r="DS8" s="1" t="s">
        <v>42</v>
      </c>
      <c r="DT8" s="1" t="s">
        <v>44</v>
      </c>
      <c r="DU8" s="1" t="s">
        <v>18</v>
      </c>
      <c r="DV8" s="1" t="s">
        <v>44</v>
      </c>
      <c r="DW8" s="1" t="s">
        <v>18</v>
      </c>
      <c r="DX8" s="1" t="s">
        <v>18</v>
      </c>
      <c r="DY8" s="1" t="s">
        <v>35</v>
      </c>
      <c r="DZ8" s="1" t="s">
        <v>44</v>
      </c>
      <c r="EA8" s="1" t="s">
        <v>42</v>
      </c>
      <c r="EB8" s="1" t="s">
        <v>44</v>
      </c>
      <c r="EC8" s="1" t="s">
        <v>35</v>
      </c>
      <c r="ED8" s="1" t="s">
        <v>18</v>
      </c>
      <c r="EE8" s="1" t="s">
        <v>35</v>
      </c>
      <c r="EF8" s="1" t="s">
        <v>25</v>
      </c>
      <c r="EG8" s="1" t="s">
        <v>25</v>
      </c>
      <c r="EH8" s="1" t="s">
        <v>42</v>
      </c>
      <c r="EI8" s="1" t="s">
        <v>35</v>
      </c>
      <c r="EJ8" s="1" t="s">
        <v>42</v>
      </c>
      <c r="EK8" s="1" t="s">
        <v>42</v>
      </c>
      <c r="EL8" s="1" t="s">
        <v>25</v>
      </c>
      <c r="EM8" s="1" t="s">
        <v>42</v>
      </c>
      <c r="EN8" s="1" t="s">
        <v>25</v>
      </c>
      <c r="EO8" s="1" t="s">
        <v>18</v>
      </c>
      <c r="EP8" s="1" t="s">
        <v>35</v>
      </c>
      <c r="EQ8" s="1" t="s">
        <v>42</v>
      </c>
      <c r="ER8" s="1" t="s">
        <v>25</v>
      </c>
      <c r="ES8" s="1" t="s">
        <v>44</v>
      </c>
      <c r="ET8" s="1" t="s">
        <v>42</v>
      </c>
      <c r="EU8" s="1" t="s">
        <v>18</v>
      </c>
      <c r="EV8" s="1" t="s">
        <v>18</v>
      </c>
      <c r="EW8" s="1" t="s">
        <v>44</v>
      </c>
      <c r="EX8" s="1" t="s">
        <v>25</v>
      </c>
      <c r="EY8" s="1" t="s">
        <v>42</v>
      </c>
      <c r="EZ8" s="1" t="s">
        <v>25</v>
      </c>
      <c r="FA8" s="1" t="s">
        <v>18</v>
      </c>
      <c r="FB8" s="1" t="s">
        <v>25</v>
      </c>
      <c r="FC8" s="1" t="s">
        <v>18</v>
      </c>
      <c r="FD8" s="1" t="s">
        <v>25</v>
      </c>
      <c r="FE8" s="1" t="s">
        <v>44</v>
      </c>
      <c r="FF8" s="1" t="s">
        <v>35</v>
      </c>
      <c r="FG8" s="1" t="s">
        <v>44</v>
      </c>
      <c r="FH8" s="1" t="s">
        <v>44</v>
      </c>
      <c r="FI8" s="1" t="s">
        <v>35</v>
      </c>
      <c r="FJ8" s="1" t="s">
        <v>35</v>
      </c>
      <c r="FK8" s="1" t="s">
        <v>42</v>
      </c>
      <c r="FL8" s="1" t="s">
        <v>42</v>
      </c>
      <c r="FM8" s="1" t="s">
        <v>44</v>
      </c>
      <c r="FN8" s="1" t="s">
        <v>44</v>
      </c>
      <c r="FO8" s="1" t="s">
        <v>18</v>
      </c>
      <c r="FP8" s="1" t="s">
        <v>18</v>
      </c>
      <c r="FQ8" s="1" t="s">
        <v>42</v>
      </c>
      <c r="FR8" s="1" t="s">
        <v>42</v>
      </c>
      <c r="FS8" s="1" t="s">
        <v>18</v>
      </c>
      <c r="FT8" s="1" t="s">
        <v>18</v>
      </c>
      <c r="FU8" s="1" t="s">
        <v>25</v>
      </c>
      <c r="FV8" s="1" t="s">
        <v>25</v>
      </c>
      <c r="FW8" s="1" t="s">
        <v>18</v>
      </c>
      <c r="FX8" s="1" t="s">
        <v>25</v>
      </c>
      <c r="FY8" s="1" t="s">
        <v>35</v>
      </c>
      <c r="FZ8" s="1" t="s">
        <v>42</v>
      </c>
      <c r="GA8" s="1" t="s">
        <v>42</v>
      </c>
      <c r="GB8" s="1" t="s">
        <v>18</v>
      </c>
      <c r="GC8" s="1" t="s">
        <v>44</v>
      </c>
      <c r="GD8" s="1" t="s">
        <v>18</v>
      </c>
      <c r="GE8" s="1" t="s">
        <v>25</v>
      </c>
      <c r="GF8" s="1" t="s">
        <v>44</v>
      </c>
      <c r="GG8" s="1" t="s">
        <v>25</v>
      </c>
      <c r="GH8" s="1" t="s">
        <v>35</v>
      </c>
      <c r="GI8" s="1" t="s">
        <v>25</v>
      </c>
      <c r="GJ8" s="1" t="s">
        <v>35</v>
      </c>
      <c r="GK8" s="1" t="s">
        <v>35</v>
      </c>
      <c r="GL8" s="1" t="s">
        <v>25</v>
      </c>
      <c r="GM8" s="1" t="s">
        <v>25</v>
      </c>
      <c r="GN8" s="1" t="s">
        <v>35</v>
      </c>
      <c r="GO8" s="1" t="s">
        <v>44</v>
      </c>
      <c r="GP8" s="1" t="s">
        <v>35</v>
      </c>
      <c r="GQ8" s="1" t="s">
        <v>42</v>
      </c>
      <c r="GR8" s="1" t="s">
        <v>35</v>
      </c>
      <c r="GS8" s="1" t="s">
        <v>44</v>
      </c>
      <c r="GT8" s="1" t="s">
        <v>42</v>
      </c>
      <c r="GU8" s="1" t="s">
        <v>18</v>
      </c>
      <c r="GV8" s="1" t="s">
        <v>18</v>
      </c>
      <c r="GW8" s="1" t="s">
        <v>44</v>
      </c>
      <c r="GX8" s="1" t="s">
        <v>35</v>
      </c>
      <c r="GY8" s="1" t="s">
        <v>25</v>
      </c>
      <c r="GZ8" s="1" t="s">
        <v>44</v>
      </c>
      <c r="HA8" s="1" t="s">
        <v>42</v>
      </c>
      <c r="HB8" s="1" t="s">
        <v>42</v>
      </c>
      <c r="HC8" s="1" t="s">
        <v>18</v>
      </c>
      <c r="HD8" s="1" t="s">
        <v>42</v>
      </c>
      <c r="HE8" s="1" t="s">
        <v>44</v>
      </c>
      <c r="HF8" s="1" t="s">
        <v>42</v>
      </c>
      <c r="HG8" s="1" t="s">
        <v>44</v>
      </c>
      <c r="HH8" s="1" t="s">
        <v>25</v>
      </c>
      <c r="HI8" s="1" t="s">
        <v>18</v>
      </c>
      <c r="HJ8" s="1" t="s">
        <v>42</v>
      </c>
      <c r="HK8" s="1" t="s">
        <v>44</v>
      </c>
      <c r="HL8" s="1" t="s">
        <v>35</v>
      </c>
      <c r="HM8" s="1" t="s">
        <v>18</v>
      </c>
      <c r="HN8" s="1" t="s">
        <v>25</v>
      </c>
      <c r="HO8" s="1" t="s">
        <v>44</v>
      </c>
      <c r="HP8" s="1" t="s">
        <v>25</v>
      </c>
      <c r="HQ8" s="1" t="s">
        <v>25</v>
      </c>
      <c r="HR8" s="1" t="s">
        <v>42</v>
      </c>
      <c r="HS8" s="1" t="s">
        <v>42</v>
      </c>
      <c r="HT8" s="1" t="s">
        <v>44</v>
      </c>
      <c r="HU8" s="1" t="s">
        <v>35</v>
      </c>
      <c r="HV8" s="1" t="s">
        <v>44</v>
      </c>
      <c r="HW8" s="1" t="s">
        <v>35</v>
      </c>
      <c r="HX8" s="1" t="s">
        <v>25</v>
      </c>
      <c r="HY8" s="1" t="s">
        <v>18</v>
      </c>
      <c r="HZ8" s="1" t="s">
        <v>44</v>
      </c>
      <c r="IA8" s="1" t="s">
        <v>44</v>
      </c>
      <c r="IB8" s="1" t="s">
        <v>35</v>
      </c>
      <c r="IC8" s="1" t="s">
        <v>25</v>
      </c>
      <c r="ID8" s="1" t="s">
        <v>25</v>
      </c>
      <c r="IE8" s="1" t="s">
        <v>35</v>
      </c>
      <c r="IF8" s="1" t="s">
        <v>25</v>
      </c>
      <c r="IG8" s="1" t="s">
        <v>42</v>
      </c>
      <c r="IH8" s="1" t="s">
        <v>18</v>
      </c>
      <c r="II8" s="1" t="s">
        <v>44</v>
      </c>
      <c r="IJ8" s="1" t="s">
        <v>18</v>
      </c>
      <c r="IK8" s="1" t="s">
        <v>44</v>
      </c>
      <c r="IL8" s="1" t="s">
        <v>42</v>
      </c>
      <c r="IM8" s="1" t="s">
        <v>25</v>
      </c>
      <c r="IN8" s="1" t="s">
        <v>35</v>
      </c>
      <c r="IO8" s="1" t="s">
        <v>42</v>
      </c>
      <c r="IP8" s="1" t="s">
        <v>18</v>
      </c>
      <c r="IQ8" s="1" t="s">
        <v>35</v>
      </c>
      <c r="IR8" s="1" t="s">
        <v>25</v>
      </c>
      <c r="IS8" s="1" t="s">
        <v>42</v>
      </c>
      <c r="IT8" s="1" t="s">
        <v>35</v>
      </c>
      <c r="IU8" s="1" t="s">
        <v>42</v>
      </c>
      <c r="IV8" s="1" t="s">
        <v>42</v>
      </c>
      <c r="IW8" s="1" t="s">
        <v>25</v>
      </c>
      <c r="IX8" s="1" t="s">
        <v>44</v>
      </c>
      <c r="IY8" s="1" t="s">
        <v>35</v>
      </c>
      <c r="IZ8" s="1" t="s">
        <v>25</v>
      </c>
      <c r="JA8" s="1" t="s">
        <v>42</v>
      </c>
      <c r="JB8" s="1" t="s">
        <v>25</v>
      </c>
      <c r="JC8" s="1" t="s">
        <v>44</v>
      </c>
      <c r="JD8" s="1" t="s">
        <v>35</v>
      </c>
      <c r="JE8" s="1" t="s">
        <v>44</v>
      </c>
      <c r="JF8" s="1" t="s">
        <v>18</v>
      </c>
      <c r="JG8" s="1" t="s">
        <v>35</v>
      </c>
      <c r="JH8" s="1" t="s">
        <v>44</v>
      </c>
      <c r="JI8" s="1" t="s">
        <v>42</v>
      </c>
      <c r="JJ8" s="1" t="s">
        <v>35</v>
      </c>
      <c r="JK8" s="1" t="s">
        <v>35</v>
      </c>
      <c r="JL8" s="1" t="s">
        <v>25</v>
      </c>
      <c r="JM8" s="1" t="s">
        <v>42</v>
      </c>
      <c r="JN8" s="1" t="s">
        <v>18</v>
      </c>
      <c r="JO8" s="1" t="s">
        <v>44</v>
      </c>
      <c r="JP8" s="1" t="s">
        <v>25</v>
      </c>
      <c r="JQ8" s="1" t="s">
        <v>44</v>
      </c>
      <c r="JR8" s="1" t="s">
        <v>18</v>
      </c>
      <c r="JS8" s="1" t="s">
        <v>18</v>
      </c>
      <c r="JT8" s="1" t="s">
        <v>35</v>
      </c>
      <c r="JU8" s="1" t="s">
        <v>18</v>
      </c>
      <c r="JV8" s="1" t="s">
        <v>44</v>
      </c>
      <c r="JW8" s="1" t="s">
        <v>42</v>
      </c>
      <c r="JX8" s="1" t="s">
        <v>42</v>
      </c>
      <c r="JY8" s="1" t="s">
        <v>35</v>
      </c>
      <c r="JZ8" s="1" t="s">
        <v>44</v>
      </c>
      <c r="KA8" s="1" t="s">
        <v>44</v>
      </c>
      <c r="KB8" s="1" t="s">
        <v>18</v>
      </c>
      <c r="KC8" s="1" t="s">
        <v>44</v>
      </c>
      <c r="KD8" s="1" t="s">
        <v>25</v>
      </c>
      <c r="KE8" s="1" t="s">
        <v>18</v>
      </c>
      <c r="KF8" s="1" t="s">
        <v>25</v>
      </c>
      <c r="KG8" s="1" t="s">
        <v>35</v>
      </c>
      <c r="KH8" s="1" t="s">
        <v>42</v>
      </c>
      <c r="KI8" s="1" t="s">
        <v>35</v>
      </c>
      <c r="KJ8" s="1" t="s">
        <v>42</v>
      </c>
      <c r="KK8" s="1" t="s">
        <v>35</v>
      </c>
      <c r="KL8" s="1" t="s">
        <v>44</v>
      </c>
      <c r="KM8" s="1" t="s">
        <v>25</v>
      </c>
      <c r="KN8" s="1" t="s">
        <v>42</v>
      </c>
      <c r="KO8" s="1" t="s">
        <v>18</v>
      </c>
      <c r="KP8" s="1" t="s">
        <v>25</v>
      </c>
      <c r="KQ8" s="1" t="s">
        <v>18</v>
      </c>
      <c r="KR8" s="1" t="s">
        <v>25</v>
      </c>
      <c r="KS8" s="1" t="s">
        <v>25</v>
      </c>
      <c r="KT8" s="1" t="s">
        <v>35</v>
      </c>
      <c r="KU8" s="1" t="s">
        <v>42</v>
      </c>
      <c r="KV8" s="1" t="s">
        <v>42</v>
      </c>
      <c r="KW8" s="1" t="s">
        <v>25</v>
      </c>
      <c r="KX8" s="1" t="s">
        <v>44</v>
      </c>
      <c r="KY8" s="1" t="s">
        <v>44</v>
      </c>
      <c r="KZ8" s="1" t="s">
        <v>18</v>
      </c>
      <c r="LA8" s="1" t="s">
        <v>18</v>
      </c>
      <c r="LB8" s="1" t="s">
        <v>35</v>
      </c>
      <c r="LC8" s="1" t="s">
        <v>25</v>
      </c>
      <c r="LD8" s="1" t="s">
        <v>18</v>
      </c>
      <c r="LE8" s="1" t="s">
        <v>18</v>
      </c>
      <c r="LF8" s="1" t="s">
        <v>25</v>
      </c>
      <c r="LG8" s="1" t="s">
        <v>35</v>
      </c>
      <c r="LH8" s="1" t="s">
        <v>18</v>
      </c>
      <c r="LI8" s="1" t="s">
        <v>35</v>
      </c>
      <c r="LJ8" s="1" t="s">
        <v>42</v>
      </c>
      <c r="LK8" s="1" t="s">
        <v>35</v>
      </c>
      <c r="LL8" s="1" t="s">
        <v>44</v>
      </c>
      <c r="LM8" s="1" t="s">
        <v>44</v>
      </c>
      <c r="LN8" s="1" t="s">
        <v>35</v>
      </c>
      <c r="LO8" s="1" t="s">
        <v>44</v>
      </c>
      <c r="LP8" s="1" t="s">
        <v>42</v>
      </c>
      <c r="LQ8" s="1" t="s">
        <v>25</v>
      </c>
      <c r="LR8" s="1" t="s">
        <v>44</v>
      </c>
      <c r="LS8" s="1" t="s">
        <v>44</v>
      </c>
      <c r="LT8" s="1" t="s">
        <v>35</v>
      </c>
      <c r="LU8" s="1" t="s">
        <v>42</v>
      </c>
      <c r="LV8" s="1" t="s">
        <v>25</v>
      </c>
      <c r="LW8" s="1" t="s">
        <v>35</v>
      </c>
      <c r="LX8" s="1" t="s">
        <v>35</v>
      </c>
      <c r="LY8" s="1" t="s">
        <v>42</v>
      </c>
      <c r="LZ8" s="1" t="s">
        <v>25</v>
      </c>
      <c r="MA8" s="1" t="s">
        <v>42</v>
      </c>
      <c r="MB8" s="1" t="s">
        <v>25</v>
      </c>
      <c r="MC8" s="1" t="s">
        <v>42</v>
      </c>
      <c r="MD8" s="1" t="s">
        <v>35</v>
      </c>
      <c r="ME8" s="1" t="s">
        <v>35</v>
      </c>
      <c r="MF8" s="1" t="s">
        <v>18</v>
      </c>
      <c r="MG8" s="1" t="s">
        <v>44</v>
      </c>
      <c r="MH8" s="1" t="s">
        <v>42</v>
      </c>
      <c r="MI8" s="1" t="s">
        <v>18</v>
      </c>
      <c r="MJ8" s="1" t="s">
        <v>44</v>
      </c>
      <c r="MK8" s="1" t="s">
        <v>42</v>
      </c>
      <c r="ML8" s="1" t="s">
        <v>25</v>
      </c>
      <c r="MM8" s="1" t="s">
        <v>44</v>
      </c>
      <c r="MN8" s="1" t="s">
        <v>35</v>
      </c>
      <c r="MO8" s="1" t="s">
        <v>18</v>
      </c>
      <c r="MP8" s="1" t="s">
        <v>44</v>
      </c>
      <c r="MQ8" s="1" t="s">
        <v>44</v>
      </c>
      <c r="MR8" s="1" t="s">
        <v>35</v>
      </c>
      <c r="MS8" s="1" t="s">
        <v>42</v>
      </c>
      <c r="MT8" s="1" t="s">
        <v>25</v>
      </c>
      <c r="MU8" s="1" t="s">
        <v>35</v>
      </c>
      <c r="MV8" s="1" t="s">
        <v>25</v>
      </c>
      <c r="MW8" s="1" t="s">
        <v>42</v>
      </c>
      <c r="MX8" s="1" t="s">
        <v>44</v>
      </c>
      <c r="MY8" s="1" t="s">
        <v>25</v>
      </c>
      <c r="MZ8" s="1" t="s">
        <v>18</v>
      </c>
      <c r="NA8" s="1" t="s">
        <v>18</v>
      </c>
      <c r="NB8" s="1" t="s">
        <v>35</v>
      </c>
      <c r="NC8" s="1" t="s">
        <v>42</v>
      </c>
      <c r="ND8" s="1" t="s">
        <v>35</v>
      </c>
      <c r="NE8" s="1" t="s">
        <v>35</v>
      </c>
      <c r="NF8" s="1" t="s">
        <v>35</v>
      </c>
      <c r="NG8" s="1" t="s">
        <v>18</v>
      </c>
      <c r="NH8" s="1" t="s">
        <v>18</v>
      </c>
      <c r="NI8" s="1" t="s">
        <v>35</v>
      </c>
      <c r="NJ8" s="1" t="s">
        <v>18</v>
      </c>
      <c r="NK8" s="1" t="s">
        <v>42</v>
      </c>
      <c r="NL8" s="1" t="s">
        <v>35</v>
      </c>
      <c r="NM8" s="1" t="s">
        <v>18</v>
      </c>
      <c r="NN8" s="1" t="s">
        <v>25</v>
      </c>
      <c r="NO8" s="1" t="s">
        <v>35</v>
      </c>
      <c r="NP8" s="1" t="s">
        <v>35</v>
      </c>
      <c r="NQ8" s="1" t="s">
        <v>42</v>
      </c>
      <c r="NR8" s="1" t="s">
        <v>44</v>
      </c>
      <c r="NS8" s="1" t="s">
        <v>44</v>
      </c>
      <c r="NT8" s="1" t="s">
        <v>42</v>
      </c>
      <c r="NU8" s="1" t="s">
        <v>42</v>
      </c>
      <c r="NV8" s="1" t="s">
        <v>42</v>
      </c>
      <c r="NW8" s="1" t="s">
        <v>44</v>
      </c>
      <c r="NX8" s="1" t="s">
        <v>42</v>
      </c>
      <c r="NY8" s="1" t="s">
        <v>18</v>
      </c>
      <c r="NZ8" s="1" t="s">
        <v>35</v>
      </c>
      <c r="OA8" s="1" t="s">
        <v>35</v>
      </c>
      <c r="OB8" s="1" t="s">
        <v>25</v>
      </c>
      <c r="OC8" s="1" t="s">
        <v>25</v>
      </c>
      <c r="OD8" s="1" t="s">
        <v>35</v>
      </c>
      <c r="OE8" s="1" t="s">
        <v>18</v>
      </c>
      <c r="OF8" s="1" t="s">
        <v>44</v>
      </c>
      <c r="OG8" s="1" t="s">
        <v>44</v>
      </c>
      <c r="OH8" s="1" t="s">
        <v>18</v>
      </c>
      <c r="OI8" s="1" t="s">
        <v>44</v>
      </c>
      <c r="OJ8" s="1" t="s">
        <v>42</v>
      </c>
      <c r="OK8" s="1" t="s">
        <v>35</v>
      </c>
      <c r="OL8" s="1" t="s">
        <v>35</v>
      </c>
      <c r="OM8" s="1" t="s">
        <v>18</v>
      </c>
      <c r="ON8" s="1" t="s">
        <v>44</v>
      </c>
      <c r="OO8" s="1" t="s">
        <v>25</v>
      </c>
      <c r="OP8" s="1" t="s">
        <v>25</v>
      </c>
      <c r="OQ8" s="1" t="s">
        <v>44</v>
      </c>
      <c r="OR8" s="1" t="s">
        <v>25</v>
      </c>
      <c r="OS8" s="1" t="s">
        <v>18</v>
      </c>
      <c r="OT8" s="1" t="s">
        <v>18</v>
      </c>
      <c r="OU8" s="1" t="s">
        <v>44</v>
      </c>
      <c r="OV8" s="1" t="s">
        <v>25</v>
      </c>
      <c r="OW8" s="1" t="s">
        <v>18</v>
      </c>
      <c r="OX8" s="1" t="s">
        <v>18</v>
      </c>
      <c r="OY8" s="1" t="s">
        <v>42</v>
      </c>
      <c r="OZ8" s="1" t="s">
        <v>42</v>
      </c>
      <c r="PA8" s="1" t="s">
        <v>18</v>
      </c>
      <c r="PB8" s="1" t="s">
        <v>44</v>
      </c>
      <c r="PC8" s="1" t="s">
        <v>35</v>
      </c>
      <c r="PD8" s="1" t="s">
        <v>35</v>
      </c>
      <c r="PE8" s="1" t="s">
        <v>18</v>
      </c>
      <c r="PF8" s="1" t="s">
        <v>18</v>
      </c>
      <c r="PG8" s="1" t="s">
        <v>18</v>
      </c>
      <c r="PH8" s="1" t="s">
        <v>44</v>
      </c>
      <c r="PI8" s="1" t="s">
        <v>42</v>
      </c>
      <c r="PJ8" s="1" t="s">
        <v>18</v>
      </c>
      <c r="PK8" s="1" t="s">
        <v>18</v>
      </c>
      <c r="PL8" s="1" t="s">
        <v>25</v>
      </c>
      <c r="PM8" s="1" t="s">
        <v>44</v>
      </c>
      <c r="PN8" s="1" t="s">
        <v>18</v>
      </c>
      <c r="PO8" s="1" t="s">
        <v>25</v>
      </c>
      <c r="PP8" s="1" t="s">
        <v>35</v>
      </c>
      <c r="PQ8" s="1" t="s">
        <v>18</v>
      </c>
      <c r="PR8" s="1" t="s">
        <v>18</v>
      </c>
      <c r="PS8" s="1" t="s">
        <v>25</v>
      </c>
      <c r="PT8" s="1" t="s">
        <v>44</v>
      </c>
      <c r="PU8" s="1" t="s">
        <v>18</v>
      </c>
      <c r="PV8" s="1" t="s">
        <v>35</v>
      </c>
      <c r="PW8" s="1" t="s">
        <v>18</v>
      </c>
      <c r="PX8" s="1" t="s">
        <v>35</v>
      </c>
      <c r="PY8" s="1" t="s">
        <v>42</v>
      </c>
      <c r="PZ8" s="1" t="s">
        <v>42</v>
      </c>
      <c r="QA8" s="1" t="s">
        <v>35</v>
      </c>
      <c r="QB8" s="1" t="s">
        <v>44</v>
      </c>
      <c r="QC8" s="1" t="s">
        <v>18</v>
      </c>
      <c r="QD8" s="1" t="s">
        <v>18</v>
      </c>
      <c r="QE8" s="1" t="s">
        <v>42</v>
      </c>
      <c r="QF8" s="1" t="s">
        <v>35</v>
      </c>
      <c r="QG8" s="1" t="s">
        <v>18</v>
      </c>
      <c r="QH8" s="1" t="s">
        <v>18</v>
      </c>
      <c r="QI8" s="1" t="s">
        <v>44</v>
      </c>
      <c r="QJ8" s="1" t="s">
        <v>25</v>
      </c>
      <c r="QK8" s="1" t="s">
        <v>42</v>
      </c>
      <c r="QL8" s="1" t="s">
        <v>42</v>
      </c>
      <c r="QM8" s="1" t="s">
        <v>25</v>
      </c>
      <c r="QN8" s="1" t="s">
        <v>18</v>
      </c>
      <c r="QO8" s="1" t="s">
        <v>44</v>
      </c>
      <c r="QP8" s="1" t="s">
        <v>44</v>
      </c>
      <c r="QQ8" s="1" t="s">
        <v>42</v>
      </c>
      <c r="QR8" s="1" t="s">
        <v>44</v>
      </c>
      <c r="QS8" s="1" t="s">
        <v>25</v>
      </c>
      <c r="QT8" s="1" t="s">
        <v>18</v>
      </c>
      <c r="QU8" s="1" t="s">
        <v>25</v>
      </c>
      <c r="QV8" s="1" t="s">
        <v>35</v>
      </c>
      <c r="QW8" s="1" t="s">
        <v>42</v>
      </c>
      <c r="QX8" s="1" t="s">
        <v>44</v>
      </c>
      <c r="QY8" s="1" t="s">
        <v>35</v>
      </c>
      <c r="QZ8" s="1" t="s">
        <v>44</v>
      </c>
      <c r="RA8" s="1" t="s">
        <v>18</v>
      </c>
      <c r="RB8" s="1" t="s">
        <v>18</v>
      </c>
      <c r="RC8" s="1" t="s">
        <v>18</v>
      </c>
      <c r="RD8" s="1" t="s">
        <v>44</v>
      </c>
      <c r="RE8" s="1" t="s">
        <v>35</v>
      </c>
      <c r="RF8" s="1" t="s">
        <v>18</v>
      </c>
      <c r="RG8" s="1" t="s">
        <v>35</v>
      </c>
      <c r="RH8" s="1" t="s">
        <v>44</v>
      </c>
      <c r="RI8" s="1" t="s">
        <v>35</v>
      </c>
      <c r="RJ8" s="1" t="s">
        <v>44</v>
      </c>
      <c r="RK8" s="1" t="s">
        <v>44</v>
      </c>
      <c r="RL8" s="1" t="s">
        <v>42</v>
      </c>
      <c r="RM8" s="1" t="s">
        <v>44</v>
      </c>
      <c r="RN8" s="1" t="s">
        <v>44</v>
      </c>
      <c r="RO8" s="1" t="s">
        <v>25</v>
      </c>
      <c r="RP8" s="1" t="s">
        <v>18</v>
      </c>
      <c r="RQ8" s="1" t="s">
        <v>42</v>
      </c>
      <c r="RR8" s="1" t="s">
        <v>42</v>
      </c>
      <c r="RS8" s="1" t="s">
        <v>42</v>
      </c>
      <c r="RT8" s="1" t="s">
        <v>25</v>
      </c>
      <c r="RU8" s="1" t="s">
        <v>44</v>
      </c>
      <c r="RV8" s="1" t="s">
        <v>18</v>
      </c>
      <c r="RW8" s="1" t="s">
        <v>35</v>
      </c>
      <c r="RX8" s="1" t="s">
        <v>44</v>
      </c>
      <c r="RY8" s="1" t="s">
        <v>25</v>
      </c>
      <c r="RZ8" s="1" t="s">
        <v>44</v>
      </c>
      <c r="SA8" s="1" t="s">
        <v>44</v>
      </c>
      <c r="SB8" s="1" t="s">
        <v>25</v>
      </c>
      <c r="SC8" s="1" t="s">
        <v>42</v>
      </c>
      <c r="SD8" s="1" t="s">
        <v>42</v>
      </c>
      <c r="SE8" s="1" t="s">
        <v>18</v>
      </c>
      <c r="SF8" s="1" t="s">
        <v>18</v>
      </c>
      <c r="SG8" s="1" t="s">
        <v>42</v>
      </c>
    </row>
    <row r="9" spans="1:501" x14ac:dyDescent="0.3">
      <c r="A9" s="3" t="s">
        <v>8</v>
      </c>
      <c r="B9" s="1" t="s">
        <v>19</v>
      </c>
      <c r="C9" s="1" t="s">
        <v>26</v>
      </c>
      <c r="D9" s="1" t="s">
        <v>31</v>
      </c>
      <c r="E9" s="1" t="s">
        <v>26</v>
      </c>
      <c r="F9" s="1" t="s">
        <v>31</v>
      </c>
      <c r="G9" s="1" t="s">
        <v>19</v>
      </c>
      <c r="H9" s="1" t="s">
        <v>31</v>
      </c>
      <c r="I9" s="1" t="s">
        <v>31</v>
      </c>
      <c r="J9" s="1" t="s">
        <v>31</v>
      </c>
      <c r="K9" s="1" t="s">
        <v>49</v>
      </c>
      <c r="L9" s="1" t="s">
        <v>49</v>
      </c>
      <c r="M9" s="1" t="s">
        <v>49</v>
      </c>
      <c r="N9" s="1" t="s">
        <v>19</v>
      </c>
      <c r="O9" s="1" t="s">
        <v>26</v>
      </c>
      <c r="P9" s="1" t="s">
        <v>52</v>
      </c>
      <c r="Q9" s="1" t="s">
        <v>31</v>
      </c>
      <c r="R9" s="1" t="s">
        <v>31</v>
      </c>
      <c r="S9" s="1" t="s">
        <v>19</v>
      </c>
      <c r="T9" s="1" t="s">
        <v>31</v>
      </c>
      <c r="U9" s="1" t="s">
        <v>49</v>
      </c>
      <c r="V9" s="1" t="s">
        <v>52</v>
      </c>
      <c r="W9" s="1" t="s">
        <v>57</v>
      </c>
      <c r="X9" s="1" t="s">
        <v>31</v>
      </c>
      <c r="Y9" s="1" t="s">
        <v>49</v>
      </c>
      <c r="Z9" s="1" t="s">
        <v>57</v>
      </c>
      <c r="AA9" s="1" t="s">
        <v>52</v>
      </c>
      <c r="AB9" s="1" t="s">
        <v>57</v>
      </c>
      <c r="AC9" s="1" t="s">
        <v>49</v>
      </c>
      <c r="AD9" s="1" t="s">
        <v>26</v>
      </c>
      <c r="AE9" s="1" t="s">
        <v>26</v>
      </c>
      <c r="AF9" s="1" t="s">
        <v>57</v>
      </c>
      <c r="AG9" s="1" t="s">
        <v>19</v>
      </c>
      <c r="AH9" s="1" t="s">
        <v>57</v>
      </c>
      <c r="AI9" s="1" t="s">
        <v>31</v>
      </c>
      <c r="AJ9" s="1" t="s">
        <v>31</v>
      </c>
      <c r="AK9" s="1" t="s">
        <v>26</v>
      </c>
      <c r="AL9" s="1" t="s">
        <v>19</v>
      </c>
      <c r="AM9" s="1" t="s">
        <v>49</v>
      </c>
      <c r="AN9" s="1" t="s">
        <v>31</v>
      </c>
      <c r="AO9" s="1" t="s">
        <v>26</v>
      </c>
      <c r="AP9" s="1" t="s">
        <v>52</v>
      </c>
      <c r="AQ9" s="1" t="s">
        <v>26</v>
      </c>
      <c r="AR9" s="1" t="s">
        <v>31</v>
      </c>
      <c r="AS9" s="1" t="s">
        <v>31</v>
      </c>
      <c r="AT9" s="1" t="s">
        <v>26</v>
      </c>
      <c r="AU9" s="1" t="s">
        <v>49</v>
      </c>
      <c r="AV9" s="1" t="s">
        <v>57</v>
      </c>
      <c r="AW9" s="1" t="s">
        <v>31</v>
      </c>
      <c r="AX9" s="1" t="s">
        <v>26</v>
      </c>
      <c r="AY9" s="1" t="s">
        <v>26</v>
      </c>
      <c r="AZ9" s="1" t="s">
        <v>19</v>
      </c>
      <c r="BA9" s="1" t="s">
        <v>57</v>
      </c>
      <c r="BB9" s="1" t="s">
        <v>52</v>
      </c>
      <c r="BC9" s="1" t="s">
        <v>49</v>
      </c>
      <c r="BD9" s="1" t="s">
        <v>52</v>
      </c>
      <c r="BE9" s="1" t="s">
        <v>57</v>
      </c>
      <c r="BF9" s="1" t="s">
        <v>57</v>
      </c>
      <c r="BG9" s="1" t="s">
        <v>57</v>
      </c>
      <c r="BH9" s="1" t="s">
        <v>52</v>
      </c>
      <c r="BI9" s="1" t="s">
        <v>57</v>
      </c>
      <c r="BJ9" s="1" t="s">
        <v>26</v>
      </c>
      <c r="BK9" s="1" t="s">
        <v>52</v>
      </c>
      <c r="BL9" s="1" t="s">
        <v>57</v>
      </c>
      <c r="BM9" s="1" t="s">
        <v>26</v>
      </c>
      <c r="BN9" s="1" t="s">
        <v>19</v>
      </c>
      <c r="BO9" s="1" t="s">
        <v>57</v>
      </c>
      <c r="BP9" s="1" t="s">
        <v>52</v>
      </c>
      <c r="BQ9" s="1" t="s">
        <v>31</v>
      </c>
      <c r="BR9" s="1" t="s">
        <v>57</v>
      </c>
      <c r="BS9" s="1" t="s">
        <v>31</v>
      </c>
      <c r="BT9" s="1" t="s">
        <v>26</v>
      </c>
      <c r="BU9" s="1" t="s">
        <v>19</v>
      </c>
      <c r="BV9" s="1" t="s">
        <v>49</v>
      </c>
      <c r="BW9" s="1" t="s">
        <v>19</v>
      </c>
      <c r="BX9" s="1" t="s">
        <v>57</v>
      </c>
      <c r="BY9" s="1" t="s">
        <v>31</v>
      </c>
      <c r="BZ9" s="1" t="s">
        <v>31</v>
      </c>
      <c r="CA9" s="1" t="s">
        <v>52</v>
      </c>
      <c r="CB9" s="1" t="s">
        <v>31</v>
      </c>
      <c r="CC9" s="1" t="s">
        <v>52</v>
      </c>
      <c r="CD9" s="1" t="s">
        <v>26</v>
      </c>
      <c r="CE9" s="1" t="s">
        <v>49</v>
      </c>
      <c r="CF9" s="1" t="s">
        <v>57</v>
      </c>
      <c r="CG9" s="1" t="s">
        <v>52</v>
      </c>
      <c r="CH9" s="1" t="s">
        <v>49</v>
      </c>
      <c r="CI9" s="1" t="s">
        <v>31</v>
      </c>
      <c r="CJ9" s="1" t="s">
        <v>31</v>
      </c>
      <c r="CK9" s="1" t="s">
        <v>49</v>
      </c>
      <c r="CL9" s="1" t="s">
        <v>31</v>
      </c>
      <c r="CM9" s="1" t="s">
        <v>26</v>
      </c>
      <c r="CN9" s="1" t="s">
        <v>26</v>
      </c>
      <c r="CO9" s="1" t="s">
        <v>49</v>
      </c>
      <c r="CP9" s="1" t="s">
        <v>52</v>
      </c>
      <c r="CQ9" s="1" t="s">
        <v>52</v>
      </c>
      <c r="CR9" s="1" t="s">
        <v>49</v>
      </c>
      <c r="CS9" s="1" t="s">
        <v>52</v>
      </c>
      <c r="CT9" s="1" t="s">
        <v>52</v>
      </c>
      <c r="CU9" s="1" t="s">
        <v>26</v>
      </c>
      <c r="CV9" s="1" t="s">
        <v>52</v>
      </c>
      <c r="CW9" s="1" t="s">
        <v>19</v>
      </c>
      <c r="CX9" s="1" t="s">
        <v>57</v>
      </c>
      <c r="CY9" s="1" t="s">
        <v>31</v>
      </c>
      <c r="CZ9" s="1" t="s">
        <v>19</v>
      </c>
      <c r="DA9" s="1" t="s">
        <v>52</v>
      </c>
      <c r="DB9" s="1" t="s">
        <v>26</v>
      </c>
      <c r="DC9" s="1" t="s">
        <v>49</v>
      </c>
      <c r="DD9" s="1" t="s">
        <v>52</v>
      </c>
      <c r="DE9" s="1" t="s">
        <v>26</v>
      </c>
      <c r="DF9" s="1" t="s">
        <v>57</v>
      </c>
      <c r="DG9" s="1" t="s">
        <v>52</v>
      </c>
      <c r="DH9" s="1" t="s">
        <v>49</v>
      </c>
      <c r="DI9" s="1" t="s">
        <v>26</v>
      </c>
      <c r="DJ9" s="1" t="s">
        <v>26</v>
      </c>
      <c r="DK9" s="1" t="s">
        <v>26</v>
      </c>
      <c r="DL9" s="1" t="s">
        <v>57</v>
      </c>
      <c r="DM9" s="1" t="s">
        <v>52</v>
      </c>
      <c r="DN9" s="1" t="s">
        <v>57</v>
      </c>
      <c r="DO9" s="1" t="s">
        <v>31</v>
      </c>
      <c r="DP9" s="1" t="s">
        <v>31</v>
      </c>
      <c r="DQ9" s="1" t="s">
        <v>52</v>
      </c>
      <c r="DR9" s="1" t="s">
        <v>57</v>
      </c>
      <c r="DS9" s="1" t="s">
        <v>49</v>
      </c>
      <c r="DT9" s="1" t="s">
        <v>26</v>
      </c>
      <c r="DU9" s="1" t="s">
        <v>26</v>
      </c>
      <c r="DV9" s="1" t="s">
        <v>52</v>
      </c>
      <c r="DW9" s="1" t="s">
        <v>31</v>
      </c>
      <c r="DX9" s="1" t="s">
        <v>31</v>
      </c>
      <c r="DY9" s="1" t="s">
        <v>26</v>
      </c>
      <c r="DZ9" s="1" t="s">
        <v>52</v>
      </c>
      <c r="EA9" s="1" t="s">
        <v>57</v>
      </c>
      <c r="EB9" s="1" t="s">
        <v>31</v>
      </c>
      <c r="EC9" s="1" t="s">
        <v>57</v>
      </c>
      <c r="ED9" s="1" t="s">
        <v>31</v>
      </c>
      <c r="EE9" s="1" t="s">
        <v>31</v>
      </c>
      <c r="EF9" s="1" t="s">
        <v>19</v>
      </c>
      <c r="EG9" s="1" t="s">
        <v>31</v>
      </c>
      <c r="EH9" s="1" t="s">
        <v>49</v>
      </c>
      <c r="EI9" s="1" t="s">
        <v>52</v>
      </c>
      <c r="EJ9" s="1" t="s">
        <v>52</v>
      </c>
      <c r="EK9" s="1" t="s">
        <v>57</v>
      </c>
      <c r="EL9" s="1" t="s">
        <v>31</v>
      </c>
      <c r="EM9" s="1" t="s">
        <v>49</v>
      </c>
      <c r="EN9" s="1" t="s">
        <v>57</v>
      </c>
      <c r="EO9" s="1" t="s">
        <v>19</v>
      </c>
      <c r="EP9" s="1" t="s">
        <v>57</v>
      </c>
      <c r="EQ9" s="1" t="s">
        <v>57</v>
      </c>
      <c r="ER9" s="1" t="s">
        <v>31</v>
      </c>
      <c r="ES9" s="1" t="s">
        <v>19</v>
      </c>
      <c r="ET9" s="1" t="s">
        <v>57</v>
      </c>
      <c r="EU9" s="1" t="s">
        <v>49</v>
      </c>
      <c r="EV9" s="1" t="s">
        <v>49</v>
      </c>
      <c r="EW9" s="1" t="s">
        <v>52</v>
      </c>
      <c r="EX9" s="1" t="s">
        <v>19</v>
      </c>
      <c r="EY9" s="1" t="s">
        <v>19</v>
      </c>
      <c r="EZ9" s="1" t="s">
        <v>52</v>
      </c>
      <c r="FA9" s="1" t="s">
        <v>57</v>
      </c>
      <c r="FB9" s="1" t="s">
        <v>19</v>
      </c>
      <c r="FC9" s="1" t="s">
        <v>49</v>
      </c>
      <c r="FD9" s="1" t="s">
        <v>49</v>
      </c>
      <c r="FE9" s="1" t="s">
        <v>31</v>
      </c>
      <c r="FF9" s="1" t="s">
        <v>19</v>
      </c>
      <c r="FG9" s="1" t="s">
        <v>57</v>
      </c>
      <c r="FH9" s="1" t="s">
        <v>52</v>
      </c>
      <c r="FI9" s="1" t="s">
        <v>52</v>
      </c>
      <c r="FJ9" s="1" t="s">
        <v>57</v>
      </c>
      <c r="FK9" s="1" t="s">
        <v>26</v>
      </c>
      <c r="FL9" s="1" t="s">
        <v>31</v>
      </c>
      <c r="FM9" s="1" t="s">
        <v>52</v>
      </c>
      <c r="FN9" s="1" t="s">
        <v>19</v>
      </c>
      <c r="FO9" s="1" t="s">
        <v>31</v>
      </c>
      <c r="FP9" s="1" t="s">
        <v>19</v>
      </c>
      <c r="FQ9" s="1" t="s">
        <v>49</v>
      </c>
      <c r="FR9" s="1" t="s">
        <v>31</v>
      </c>
      <c r="FS9" s="1" t="s">
        <v>52</v>
      </c>
      <c r="FT9" s="1" t="s">
        <v>31</v>
      </c>
      <c r="FU9" s="1" t="s">
        <v>31</v>
      </c>
      <c r="FV9" s="1" t="s">
        <v>31</v>
      </c>
      <c r="FW9" s="1" t="s">
        <v>26</v>
      </c>
      <c r="FX9" s="1" t="s">
        <v>31</v>
      </c>
      <c r="FY9" s="1" t="s">
        <v>19</v>
      </c>
      <c r="FZ9" s="1" t="s">
        <v>49</v>
      </c>
      <c r="GA9" s="1" t="s">
        <v>57</v>
      </c>
      <c r="GB9" s="1" t="s">
        <v>31</v>
      </c>
      <c r="GC9" s="1" t="s">
        <v>52</v>
      </c>
      <c r="GD9" s="1" t="s">
        <v>31</v>
      </c>
      <c r="GE9" s="1" t="s">
        <v>52</v>
      </c>
      <c r="GF9" s="1" t="s">
        <v>19</v>
      </c>
      <c r="GG9" s="1" t="s">
        <v>52</v>
      </c>
      <c r="GH9" s="1" t="s">
        <v>57</v>
      </c>
      <c r="GI9" s="1" t="s">
        <v>49</v>
      </c>
      <c r="GJ9" s="1" t="s">
        <v>52</v>
      </c>
      <c r="GK9" s="1" t="s">
        <v>52</v>
      </c>
      <c r="GL9" s="1" t="s">
        <v>49</v>
      </c>
      <c r="GM9" s="1" t="s">
        <v>57</v>
      </c>
      <c r="GN9" s="1" t="s">
        <v>31</v>
      </c>
      <c r="GO9" s="1" t="s">
        <v>52</v>
      </c>
      <c r="GP9" s="1" t="s">
        <v>49</v>
      </c>
      <c r="GQ9" s="1" t="s">
        <v>19</v>
      </c>
      <c r="GR9" s="1" t="s">
        <v>49</v>
      </c>
      <c r="GS9" s="1" t="s">
        <v>19</v>
      </c>
      <c r="GT9" s="1" t="s">
        <v>57</v>
      </c>
      <c r="GU9" s="1" t="s">
        <v>31</v>
      </c>
      <c r="GV9" s="1" t="s">
        <v>49</v>
      </c>
      <c r="GW9" s="1" t="s">
        <v>26</v>
      </c>
      <c r="GX9" s="1" t="s">
        <v>52</v>
      </c>
      <c r="GY9" s="1" t="s">
        <v>57</v>
      </c>
      <c r="GZ9" s="1" t="s">
        <v>49</v>
      </c>
      <c r="HA9" s="1" t="s">
        <v>52</v>
      </c>
      <c r="HB9" s="1" t="s">
        <v>49</v>
      </c>
      <c r="HC9" s="1" t="s">
        <v>19</v>
      </c>
      <c r="HD9" s="1" t="s">
        <v>49</v>
      </c>
      <c r="HE9" s="1" t="s">
        <v>26</v>
      </c>
      <c r="HF9" s="1" t="s">
        <v>49</v>
      </c>
      <c r="HG9" s="1" t="s">
        <v>49</v>
      </c>
      <c r="HH9" s="1" t="s">
        <v>26</v>
      </c>
      <c r="HI9" s="1" t="s">
        <v>57</v>
      </c>
      <c r="HJ9" s="1" t="s">
        <v>49</v>
      </c>
      <c r="HK9" s="1" t="s">
        <v>26</v>
      </c>
      <c r="HL9" s="1" t="s">
        <v>52</v>
      </c>
      <c r="HM9" s="1" t="s">
        <v>19</v>
      </c>
      <c r="HN9" s="1" t="s">
        <v>19</v>
      </c>
      <c r="HO9" s="1" t="s">
        <v>49</v>
      </c>
      <c r="HP9" s="1" t="s">
        <v>57</v>
      </c>
      <c r="HQ9" s="1" t="s">
        <v>57</v>
      </c>
      <c r="HR9" s="1" t="s">
        <v>52</v>
      </c>
      <c r="HS9" s="1" t="s">
        <v>49</v>
      </c>
      <c r="HT9" s="1" t="s">
        <v>19</v>
      </c>
      <c r="HU9" s="1" t="s">
        <v>57</v>
      </c>
      <c r="HV9" s="1" t="s">
        <v>49</v>
      </c>
      <c r="HW9" s="1" t="s">
        <v>57</v>
      </c>
      <c r="HX9" s="1" t="s">
        <v>26</v>
      </c>
      <c r="HY9" s="1" t="s">
        <v>57</v>
      </c>
      <c r="HZ9" s="1" t="s">
        <v>19</v>
      </c>
      <c r="IA9" s="1" t="s">
        <v>31</v>
      </c>
      <c r="IB9" s="1" t="s">
        <v>52</v>
      </c>
      <c r="IC9" s="1" t="s">
        <v>52</v>
      </c>
      <c r="ID9" s="1" t="s">
        <v>19</v>
      </c>
      <c r="IE9" s="1" t="s">
        <v>57</v>
      </c>
      <c r="IF9" s="1" t="s">
        <v>49</v>
      </c>
      <c r="IG9" s="1" t="s">
        <v>57</v>
      </c>
      <c r="IH9" s="1" t="s">
        <v>19</v>
      </c>
      <c r="II9" s="1" t="s">
        <v>52</v>
      </c>
      <c r="IJ9" s="1" t="s">
        <v>57</v>
      </c>
      <c r="IK9" s="1" t="s">
        <v>52</v>
      </c>
      <c r="IL9" s="1" t="s">
        <v>49</v>
      </c>
      <c r="IM9" s="1" t="s">
        <v>52</v>
      </c>
      <c r="IN9" s="1" t="s">
        <v>52</v>
      </c>
      <c r="IO9" s="1" t="s">
        <v>31</v>
      </c>
      <c r="IP9" s="1" t="s">
        <v>31</v>
      </c>
      <c r="IQ9" s="1" t="s">
        <v>26</v>
      </c>
      <c r="IR9" s="1" t="s">
        <v>31</v>
      </c>
      <c r="IS9" s="1" t="s">
        <v>52</v>
      </c>
      <c r="IT9" s="1" t="s">
        <v>19</v>
      </c>
      <c r="IU9" s="1" t="s">
        <v>52</v>
      </c>
      <c r="IV9" s="1" t="s">
        <v>19</v>
      </c>
      <c r="IW9" s="1" t="s">
        <v>19</v>
      </c>
      <c r="IX9" s="1" t="s">
        <v>31</v>
      </c>
      <c r="IY9" s="1" t="s">
        <v>57</v>
      </c>
      <c r="IZ9" s="1" t="s">
        <v>49</v>
      </c>
      <c r="JA9" s="1" t="s">
        <v>31</v>
      </c>
      <c r="JB9" s="1" t="s">
        <v>31</v>
      </c>
      <c r="JC9" s="1" t="s">
        <v>57</v>
      </c>
      <c r="JD9" s="1" t="s">
        <v>49</v>
      </c>
      <c r="JE9" s="1" t="s">
        <v>52</v>
      </c>
      <c r="JF9" s="1" t="s">
        <v>26</v>
      </c>
      <c r="JG9" s="1" t="s">
        <v>26</v>
      </c>
      <c r="JH9" s="1" t="s">
        <v>52</v>
      </c>
      <c r="JI9" s="1" t="s">
        <v>31</v>
      </c>
      <c r="JJ9" s="1" t="s">
        <v>49</v>
      </c>
      <c r="JK9" s="1" t="s">
        <v>31</v>
      </c>
      <c r="JL9" s="1" t="s">
        <v>19</v>
      </c>
      <c r="JM9" s="1" t="s">
        <v>31</v>
      </c>
      <c r="JN9" s="1" t="s">
        <v>31</v>
      </c>
      <c r="JO9" s="1" t="s">
        <v>52</v>
      </c>
      <c r="JP9" s="1" t="s">
        <v>52</v>
      </c>
      <c r="JQ9" s="1" t="s">
        <v>52</v>
      </c>
      <c r="JR9" s="1" t="s">
        <v>26</v>
      </c>
      <c r="JS9" s="1" t="s">
        <v>19</v>
      </c>
      <c r="JT9" s="1" t="s">
        <v>52</v>
      </c>
      <c r="JU9" s="1" t="s">
        <v>49</v>
      </c>
      <c r="JV9" s="1" t="s">
        <v>26</v>
      </c>
      <c r="JW9" s="1" t="s">
        <v>57</v>
      </c>
      <c r="JX9" s="1" t="s">
        <v>49</v>
      </c>
      <c r="JY9" s="1" t="s">
        <v>49</v>
      </c>
      <c r="JZ9" s="1" t="s">
        <v>52</v>
      </c>
      <c r="KA9" s="1" t="s">
        <v>57</v>
      </c>
      <c r="KB9" s="1" t="s">
        <v>57</v>
      </c>
      <c r="KC9" s="1" t="s">
        <v>26</v>
      </c>
      <c r="KD9" s="1" t="s">
        <v>57</v>
      </c>
      <c r="KE9" s="1" t="s">
        <v>19</v>
      </c>
      <c r="KF9" s="1" t="s">
        <v>52</v>
      </c>
      <c r="KG9" s="1" t="s">
        <v>57</v>
      </c>
      <c r="KH9" s="1" t="s">
        <v>26</v>
      </c>
      <c r="KI9" s="1" t="s">
        <v>19</v>
      </c>
      <c r="KJ9" s="1" t="s">
        <v>31</v>
      </c>
      <c r="KK9" s="1" t="s">
        <v>31</v>
      </c>
      <c r="KL9" s="1" t="s">
        <v>19</v>
      </c>
      <c r="KM9" s="1" t="s">
        <v>26</v>
      </c>
      <c r="KN9" s="1" t="s">
        <v>19</v>
      </c>
      <c r="KO9" s="1" t="s">
        <v>52</v>
      </c>
      <c r="KP9" s="1" t="s">
        <v>52</v>
      </c>
      <c r="KQ9" s="1" t="s">
        <v>31</v>
      </c>
      <c r="KR9" s="1" t="s">
        <v>57</v>
      </c>
      <c r="KS9" s="1" t="s">
        <v>26</v>
      </c>
      <c r="KT9" s="1" t="s">
        <v>31</v>
      </c>
      <c r="KU9" s="1" t="s">
        <v>57</v>
      </c>
      <c r="KV9" s="1" t="s">
        <v>57</v>
      </c>
      <c r="KW9" s="1" t="s">
        <v>52</v>
      </c>
      <c r="KX9" s="1" t="s">
        <v>49</v>
      </c>
      <c r="KY9" s="1" t="s">
        <v>49</v>
      </c>
      <c r="KZ9" s="1" t="s">
        <v>19</v>
      </c>
      <c r="LA9" s="1" t="s">
        <v>52</v>
      </c>
      <c r="LB9" s="1" t="s">
        <v>57</v>
      </c>
      <c r="LC9" s="1" t="s">
        <v>26</v>
      </c>
      <c r="LD9" s="1" t="s">
        <v>49</v>
      </c>
      <c r="LE9" s="1" t="s">
        <v>57</v>
      </c>
      <c r="LF9" s="1" t="s">
        <v>49</v>
      </c>
      <c r="LG9" s="1" t="s">
        <v>49</v>
      </c>
      <c r="LH9" s="1" t="s">
        <v>49</v>
      </c>
      <c r="LI9" s="1" t="s">
        <v>26</v>
      </c>
      <c r="LJ9" s="1" t="s">
        <v>52</v>
      </c>
      <c r="LK9" s="1" t="s">
        <v>26</v>
      </c>
      <c r="LL9" s="1" t="s">
        <v>31</v>
      </c>
      <c r="LM9" s="1" t="s">
        <v>57</v>
      </c>
      <c r="LN9" s="1" t="s">
        <v>52</v>
      </c>
      <c r="LO9" s="1" t="s">
        <v>52</v>
      </c>
      <c r="LP9" s="1" t="s">
        <v>52</v>
      </c>
      <c r="LQ9" s="1" t="s">
        <v>52</v>
      </c>
      <c r="LR9" s="1" t="s">
        <v>26</v>
      </c>
      <c r="LS9" s="1" t="s">
        <v>52</v>
      </c>
      <c r="LT9" s="1" t="s">
        <v>19</v>
      </c>
      <c r="LU9" s="1" t="s">
        <v>57</v>
      </c>
      <c r="LV9" s="1" t="s">
        <v>52</v>
      </c>
      <c r="LW9" s="1" t="s">
        <v>57</v>
      </c>
      <c r="LX9" s="1" t="s">
        <v>19</v>
      </c>
      <c r="LY9" s="1" t="s">
        <v>19</v>
      </c>
      <c r="LZ9" s="1" t="s">
        <v>57</v>
      </c>
      <c r="MA9" s="1" t="s">
        <v>49</v>
      </c>
      <c r="MB9" s="1" t="s">
        <v>31</v>
      </c>
      <c r="MC9" s="1" t="s">
        <v>49</v>
      </c>
      <c r="MD9" s="1" t="s">
        <v>49</v>
      </c>
      <c r="ME9" s="1" t="s">
        <v>26</v>
      </c>
      <c r="MF9" s="1" t="s">
        <v>49</v>
      </c>
      <c r="MG9" s="1" t="s">
        <v>52</v>
      </c>
      <c r="MH9" s="1" t="s">
        <v>26</v>
      </c>
      <c r="MI9" s="1" t="s">
        <v>26</v>
      </c>
      <c r="MJ9" s="1" t="s">
        <v>19</v>
      </c>
      <c r="MK9" s="1" t="s">
        <v>49</v>
      </c>
      <c r="ML9" s="1" t="s">
        <v>19</v>
      </c>
      <c r="MM9" s="1" t="s">
        <v>57</v>
      </c>
      <c r="MN9" s="1" t="s">
        <v>31</v>
      </c>
      <c r="MO9" s="1" t="s">
        <v>26</v>
      </c>
      <c r="MP9" s="1" t="s">
        <v>57</v>
      </c>
      <c r="MQ9" s="1" t="s">
        <v>57</v>
      </c>
      <c r="MR9" s="1" t="s">
        <v>52</v>
      </c>
      <c r="MS9" s="1" t="s">
        <v>31</v>
      </c>
      <c r="MT9" s="1" t="s">
        <v>57</v>
      </c>
      <c r="MU9" s="1" t="s">
        <v>57</v>
      </c>
      <c r="MV9" s="1" t="s">
        <v>31</v>
      </c>
      <c r="MW9" s="1" t="s">
        <v>31</v>
      </c>
      <c r="MX9" s="1" t="s">
        <v>57</v>
      </c>
      <c r="MY9" s="1" t="s">
        <v>31</v>
      </c>
      <c r="MZ9" s="1" t="s">
        <v>57</v>
      </c>
      <c r="NA9" s="1" t="s">
        <v>57</v>
      </c>
      <c r="NB9" s="1" t="s">
        <v>52</v>
      </c>
      <c r="NC9" s="1" t="s">
        <v>49</v>
      </c>
      <c r="ND9" s="1" t="s">
        <v>57</v>
      </c>
      <c r="NE9" s="1" t="s">
        <v>19</v>
      </c>
      <c r="NF9" s="1" t="s">
        <v>26</v>
      </c>
      <c r="NG9" s="1" t="s">
        <v>49</v>
      </c>
      <c r="NH9" s="1" t="s">
        <v>49</v>
      </c>
      <c r="NI9" s="1" t="s">
        <v>49</v>
      </c>
      <c r="NJ9" s="1" t="s">
        <v>52</v>
      </c>
      <c r="NK9" s="1" t="s">
        <v>57</v>
      </c>
      <c r="NL9" s="1" t="s">
        <v>52</v>
      </c>
      <c r="NM9" s="1" t="s">
        <v>57</v>
      </c>
      <c r="NN9" s="1" t="s">
        <v>52</v>
      </c>
      <c r="NO9" s="1" t="s">
        <v>52</v>
      </c>
      <c r="NP9" s="1" t="s">
        <v>26</v>
      </c>
      <c r="NQ9" s="1" t="s">
        <v>19</v>
      </c>
      <c r="NR9" s="1" t="s">
        <v>52</v>
      </c>
      <c r="NS9" s="1" t="s">
        <v>26</v>
      </c>
      <c r="NT9" s="1" t="s">
        <v>31</v>
      </c>
      <c r="NU9" s="1" t="s">
        <v>19</v>
      </c>
      <c r="NV9" s="1" t="s">
        <v>52</v>
      </c>
      <c r="NW9" s="1" t="s">
        <v>49</v>
      </c>
      <c r="NX9" s="1" t="s">
        <v>31</v>
      </c>
      <c r="NY9" s="1" t="s">
        <v>31</v>
      </c>
      <c r="NZ9" s="1" t="s">
        <v>26</v>
      </c>
      <c r="OA9" s="1" t="s">
        <v>31</v>
      </c>
      <c r="OB9" s="1" t="s">
        <v>19</v>
      </c>
      <c r="OC9" s="1" t="s">
        <v>52</v>
      </c>
      <c r="OD9" s="1" t="s">
        <v>52</v>
      </c>
      <c r="OE9" s="1" t="s">
        <v>49</v>
      </c>
      <c r="OF9" s="1" t="s">
        <v>26</v>
      </c>
      <c r="OG9" s="1" t="s">
        <v>49</v>
      </c>
      <c r="OH9" s="1" t="s">
        <v>31</v>
      </c>
      <c r="OI9" s="1" t="s">
        <v>49</v>
      </c>
      <c r="OJ9" s="1" t="s">
        <v>19</v>
      </c>
      <c r="OK9" s="1" t="s">
        <v>52</v>
      </c>
      <c r="OL9" s="1" t="s">
        <v>31</v>
      </c>
      <c r="OM9" s="1" t="s">
        <v>49</v>
      </c>
      <c r="ON9" s="1" t="s">
        <v>26</v>
      </c>
      <c r="OO9" s="1" t="s">
        <v>19</v>
      </c>
      <c r="OP9" s="1" t="s">
        <v>19</v>
      </c>
      <c r="OQ9" s="1" t="s">
        <v>49</v>
      </c>
      <c r="OR9" s="1" t="s">
        <v>52</v>
      </c>
      <c r="OS9" s="1" t="s">
        <v>49</v>
      </c>
      <c r="OT9" s="1" t="s">
        <v>31</v>
      </c>
      <c r="OU9" s="1" t="s">
        <v>49</v>
      </c>
      <c r="OV9" s="1" t="s">
        <v>19</v>
      </c>
      <c r="OW9" s="1" t="s">
        <v>49</v>
      </c>
      <c r="OX9" s="1" t="s">
        <v>52</v>
      </c>
      <c r="OY9" s="1" t="s">
        <v>26</v>
      </c>
      <c r="OZ9" s="1" t="s">
        <v>57</v>
      </c>
      <c r="PA9" s="1" t="s">
        <v>49</v>
      </c>
      <c r="PB9" s="1" t="s">
        <v>52</v>
      </c>
      <c r="PC9" s="1" t="s">
        <v>52</v>
      </c>
      <c r="PD9" s="1" t="s">
        <v>26</v>
      </c>
      <c r="PE9" s="1" t="s">
        <v>19</v>
      </c>
      <c r="PF9" s="1" t="s">
        <v>52</v>
      </c>
      <c r="PG9" s="1" t="s">
        <v>52</v>
      </c>
      <c r="PH9" s="1" t="s">
        <v>52</v>
      </c>
      <c r="PI9" s="1" t="s">
        <v>52</v>
      </c>
      <c r="PJ9" s="1" t="s">
        <v>31</v>
      </c>
      <c r="PK9" s="1" t="s">
        <v>31</v>
      </c>
      <c r="PL9" s="1" t="s">
        <v>19</v>
      </c>
      <c r="PM9" s="1" t="s">
        <v>49</v>
      </c>
      <c r="PN9" s="1" t="s">
        <v>52</v>
      </c>
      <c r="PO9" s="1" t="s">
        <v>26</v>
      </c>
      <c r="PP9" s="1" t="s">
        <v>49</v>
      </c>
      <c r="PQ9" s="1" t="s">
        <v>26</v>
      </c>
      <c r="PR9" s="1" t="s">
        <v>49</v>
      </c>
      <c r="PS9" s="1" t="s">
        <v>19</v>
      </c>
      <c r="PT9" s="1" t="s">
        <v>52</v>
      </c>
      <c r="PU9" s="1" t="s">
        <v>52</v>
      </c>
      <c r="PV9" s="1" t="s">
        <v>57</v>
      </c>
      <c r="PW9" s="1" t="s">
        <v>26</v>
      </c>
      <c r="PX9" s="1" t="s">
        <v>49</v>
      </c>
      <c r="PY9" s="1" t="s">
        <v>49</v>
      </c>
      <c r="PZ9" s="1" t="s">
        <v>31</v>
      </c>
      <c r="QA9" s="1" t="s">
        <v>57</v>
      </c>
      <c r="QB9" s="1" t="s">
        <v>31</v>
      </c>
      <c r="QC9" s="1" t="s">
        <v>31</v>
      </c>
      <c r="QD9" s="1" t="s">
        <v>31</v>
      </c>
      <c r="QE9" s="1" t="s">
        <v>26</v>
      </c>
      <c r="QF9" s="1" t="s">
        <v>26</v>
      </c>
      <c r="QG9" s="1" t="s">
        <v>19</v>
      </c>
      <c r="QH9" s="1" t="s">
        <v>19</v>
      </c>
      <c r="QI9" s="1" t="s">
        <v>31</v>
      </c>
      <c r="QJ9" s="1" t="s">
        <v>57</v>
      </c>
      <c r="QK9" s="1" t="s">
        <v>49</v>
      </c>
      <c r="QL9" s="1" t="s">
        <v>26</v>
      </c>
      <c r="QM9" s="1" t="s">
        <v>57</v>
      </c>
      <c r="QN9" s="1" t="s">
        <v>52</v>
      </c>
      <c r="QO9" s="1" t="s">
        <v>26</v>
      </c>
      <c r="QP9" s="1" t="s">
        <v>26</v>
      </c>
      <c r="QQ9" s="1" t="s">
        <v>19</v>
      </c>
      <c r="QR9" s="1" t="s">
        <v>49</v>
      </c>
      <c r="QS9" s="1" t="s">
        <v>49</v>
      </c>
      <c r="QT9" s="1" t="s">
        <v>52</v>
      </c>
      <c r="QU9" s="1" t="s">
        <v>52</v>
      </c>
      <c r="QV9" s="1" t="s">
        <v>26</v>
      </c>
      <c r="QW9" s="1" t="s">
        <v>31</v>
      </c>
      <c r="QX9" s="1" t="s">
        <v>19</v>
      </c>
      <c r="QY9" s="1" t="s">
        <v>19</v>
      </c>
      <c r="QZ9" s="1" t="s">
        <v>26</v>
      </c>
      <c r="RA9" s="1" t="s">
        <v>57</v>
      </c>
      <c r="RB9" s="1" t="s">
        <v>31</v>
      </c>
      <c r="RC9" s="1" t="s">
        <v>26</v>
      </c>
      <c r="RD9" s="1" t="s">
        <v>31</v>
      </c>
      <c r="RE9" s="1" t="s">
        <v>31</v>
      </c>
      <c r="RF9" s="1" t="s">
        <v>31</v>
      </c>
      <c r="RG9" s="1" t="s">
        <v>26</v>
      </c>
      <c r="RH9" s="1" t="s">
        <v>19</v>
      </c>
      <c r="RI9" s="1" t="s">
        <v>19</v>
      </c>
      <c r="RJ9" s="1" t="s">
        <v>31</v>
      </c>
      <c r="RK9" s="1" t="s">
        <v>57</v>
      </c>
      <c r="RL9" s="1" t="s">
        <v>49</v>
      </c>
      <c r="RM9" s="1" t="s">
        <v>26</v>
      </c>
      <c r="RN9" s="1" t="s">
        <v>49</v>
      </c>
      <c r="RO9" s="1" t="s">
        <v>57</v>
      </c>
      <c r="RP9" s="1" t="s">
        <v>26</v>
      </c>
      <c r="RQ9" s="1" t="s">
        <v>31</v>
      </c>
      <c r="RR9" s="1" t="s">
        <v>19</v>
      </c>
      <c r="RS9" s="1" t="s">
        <v>49</v>
      </c>
      <c r="RT9" s="1" t="s">
        <v>52</v>
      </c>
      <c r="RU9" s="1" t="s">
        <v>52</v>
      </c>
      <c r="RV9" s="1" t="s">
        <v>57</v>
      </c>
      <c r="RW9" s="1" t="s">
        <v>31</v>
      </c>
      <c r="RX9" s="1" t="s">
        <v>49</v>
      </c>
      <c r="RY9" s="1" t="s">
        <v>31</v>
      </c>
      <c r="RZ9" s="1" t="s">
        <v>49</v>
      </c>
      <c r="SA9" s="1" t="s">
        <v>57</v>
      </c>
      <c r="SB9" s="1" t="s">
        <v>57</v>
      </c>
      <c r="SC9" s="1" t="s">
        <v>52</v>
      </c>
      <c r="SD9" s="1" t="s">
        <v>31</v>
      </c>
      <c r="SE9" s="1" t="s">
        <v>26</v>
      </c>
      <c r="SF9" s="1" t="s">
        <v>52</v>
      </c>
      <c r="SG9" s="1" t="s">
        <v>31</v>
      </c>
    </row>
    <row r="10" spans="1:501" x14ac:dyDescent="0.3">
      <c r="A10" s="3" t="s">
        <v>9</v>
      </c>
      <c r="B10" s="1" t="s">
        <v>20</v>
      </c>
      <c r="C10" s="1" t="s">
        <v>27</v>
      </c>
      <c r="D10" s="1" t="s">
        <v>32</v>
      </c>
      <c r="E10" s="1" t="s">
        <v>36</v>
      </c>
      <c r="F10" s="1" t="s">
        <v>39</v>
      </c>
      <c r="G10" s="1" t="s">
        <v>43</v>
      </c>
      <c r="H10" s="1" t="s">
        <v>32</v>
      </c>
      <c r="I10" s="1" t="s">
        <v>32</v>
      </c>
      <c r="J10" s="1" t="s">
        <v>48</v>
      </c>
      <c r="K10" s="1" t="s">
        <v>50</v>
      </c>
      <c r="L10" s="1" t="s">
        <v>50</v>
      </c>
      <c r="M10" s="1" t="s">
        <v>51</v>
      </c>
      <c r="N10" s="1" t="s">
        <v>43</v>
      </c>
      <c r="O10" s="1" t="s">
        <v>36</v>
      </c>
      <c r="P10" s="1" t="s">
        <v>53</v>
      </c>
      <c r="Q10" s="1" t="s">
        <v>39</v>
      </c>
      <c r="R10" s="1" t="s">
        <v>39</v>
      </c>
      <c r="S10" s="1" t="s">
        <v>55</v>
      </c>
      <c r="T10" s="1" t="s">
        <v>39</v>
      </c>
      <c r="U10" s="1" t="s">
        <v>51</v>
      </c>
      <c r="V10" s="1" t="s">
        <v>56</v>
      </c>
      <c r="W10" s="1" t="s">
        <v>58</v>
      </c>
      <c r="X10" s="1" t="s">
        <v>32</v>
      </c>
      <c r="Y10" s="1" t="s">
        <v>51</v>
      </c>
      <c r="Z10" s="1" t="s">
        <v>59</v>
      </c>
      <c r="AA10" s="1" t="s">
        <v>60</v>
      </c>
      <c r="AB10" s="1" t="s">
        <v>58</v>
      </c>
      <c r="AC10" s="1" t="s">
        <v>51</v>
      </c>
      <c r="AD10" s="1" t="s">
        <v>27</v>
      </c>
      <c r="AE10" s="1" t="s">
        <v>61</v>
      </c>
      <c r="AF10" s="1" t="s">
        <v>62</v>
      </c>
      <c r="AG10" s="1" t="s">
        <v>43</v>
      </c>
      <c r="AH10" s="1" t="s">
        <v>59</v>
      </c>
      <c r="AI10" s="1" t="s">
        <v>48</v>
      </c>
      <c r="AJ10" s="1" t="s">
        <v>48</v>
      </c>
      <c r="AK10" s="1" t="s">
        <v>27</v>
      </c>
      <c r="AL10" s="1" t="s">
        <v>55</v>
      </c>
      <c r="AM10" s="1" t="s">
        <v>63</v>
      </c>
      <c r="AN10" s="1" t="s">
        <v>48</v>
      </c>
      <c r="AO10" s="1" t="s">
        <v>27</v>
      </c>
      <c r="AP10" s="1" t="s">
        <v>64</v>
      </c>
      <c r="AQ10" s="1" t="s">
        <v>27</v>
      </c>
      <c r="AR10" s="1" t="s">
        <v>48</v>
      </c>
      <c r="AS10" s="1" t="s">
        <v>48</v>
      </c>
      <c r="AT10" s="1" t="s">
        <v>61</v>
      </c>
      <c r="AU10" s="1" t="s">
        <v>51</v>
      </c>
      <c r="AV10" s="1" t="s">
        <v>62</v>
      </c>
      <c r="AW10" s="1" t="s">
        <v>65</v>
      </c>
      <c r="AX10" s="1" t="s">
        <v>27</v>
      </c>
      <c r="AY10" s="1" t="s">
        <v>61</v>
      </c>
      <c r="AZ10" s="1" t="s">
        <v>66</v>
      </c>
      <c r="BA10" s="1" t="s">
        <v>62</v>
      </c>
      <c r="BB10" s="1" t="s">
        <v>64</v>
      </c>
      <c r="BC10" s="1" t="s">
        <v>50</v>
      </c>
      <c r="BD10" s="1" t="s">
        <v>64</v>
      </c>
      <c r="BE10" s="1" t="s">
        <v>62</v>
      </c>
      <c r="BF10" s="1" t="s">
        <v>58</v>
      </c>
      <c r="BG10" s="1" t="s">
        <v>59</v>
      </c>
      <c r="BH10" s="1" t="s">
        <v>64</v>
      </c>
      <c r="BI10" s="1" t="s">
        <v>62</v>
      </c>
      <c r="BJ10" s="1" t="s">
        <v>36</v>
      </c>
      <c r="BK10" s="1" t="s">
        <v>56</v>
      </c>
      <c r="BL10" s="1" t="s">
        <v>62</v>
      </c>
      <c r="BM10" s="1" t="s">
        <v>36</v>
      </c>
      <c r="BN10" s="1" t="s">
        <v>43</v>
      </c>
      <c r="BO10" s="1" t="s">
        <v>67</v>
      </c>
      <c r="BP10" s="1" t="s">
        <v>64</v>
      </c>
      <c r="BQ10" s="1" t="s">
        <v>48</v>
      </c>
      <c r="BR10" s="1" t="s">
        <v>62</v>
      </c>
      <c r="BS10" s="1" t="s">
        <v>39</v>
      </c>
      <c r="BT10" s="1" t="s">
        <v>61</v>
      </c>
      <c r="BU10" s="1" t="s">
        <v>55</v>
      </c>
      <c r="BV10" s="1" t="s">
        <v>68</v>
      </c>
      <c r="BW10" s="1" t="s">
        <v>43</v>
      </c>
      <c r="BX10" s="1" t="s">
        <v>58</v>
      </c>
      <c r="BY10" s="1" t="s">
        <v>39</v>
      </c>
      <c r="BZ10" s="1" t="s">
        <v>32</v>
      </c>
      <c r="CA10" s="1" t="s">
        <v>60</v>
      </c>
      <c r="CB10" s="1" t="s">
        <v>32</v>
      </c>
      <c r="CC10" s="1" t="s">
        <v>56</v>
      </c>
      <c r="CD10" s="1" t="s">
        <v>27</v>
      </c>
      <c r="CE10" s="1" t="s">
        <v>63</v>
      </c>
      <c r="CF10" s="1" t="s">
        <v>62</v>
      </c>
      <c r="CG10" s="1" t="s">
        <v>56</v>
      </c>
      <c r="CH10" s="1" t="s">
        <v>50</v>
      </c>
      <c r="CI10" s="1" t="s">
        <v>65</v>
      </c>
      <c r="CJ10" s="1" t="s">
        <v>39</v>
      </c>
      <c r="CK10" s="1" t="s">
        <v>63</v>
      </c>
      <c r="CL10" s="1" t="s">
        <v>48</v>
      </c>
      <c r="CM10" s="1" t="s">
        <v>27</v>
      </c>
      <c r="CN10" s="1" t="s">
        <v>27</v>
      </c>
      <c r="CO10" s="1" t="s">
        <v>50</v>
      </c>
      <c r="CP10" s="1" t="s">
        <v>56</v>
      </c>
      <c r="CQ10" s="1" t="s">
        <v>60</v>
      </c>
      <c r="CR10" s="1" t="s">
        <v>50</v>
      </c>
      <c r="CS10" s="1" t="s">
        <v>60</v>
      </c>
      <c r="CT10" s="1" t="s">
        <v>60</v>
      </c>
      <c r="CU10" s="1" t="s">
        <v>36</v>
      </c>
      <c r="CV10" s="1" t="s">
        <v>53</v>
      </c>
      <c r="CW10" s="1" t="s">
        <v>43</v>
      </c>
      <c r="CX10" s="1" t="s">
        <v>59</v>
      </c>
      <c r="CY10" s="1" t="s">
        <v>39</v>
      </c>
      <c r="CZ10" s="1" t="s">
        <v>20</v>
      </c>
      <c r="DA10" s="1" t="s">
        <v>53</v>
      </c>
      <c r="DB10" s="1" t="s">
        <v>27</v>
      </c>
      <c r="DC10" s="1" t="s">
        <v>63</v>
      </c>
      <c r="DD10" s="1" t="s">
        <v>60</v>
      </c>
      <c r="DE10" s="1" t="s">
        <v>36</v>
      </c>
      <c r="DF10" s="1" t="s">
        <v>59</v>
      </c>
      <c r="DG10" s="1" t="s">
        <v>56</v>
      </c>
      <c r="DH10" s="1" t="s">
        <v>68</v>
      </c>
      <c r="DI10" s="1" t="s">
        <v>36</v>
      </c>
      <c r="DJ10" s="1" t="s">
        <v>61</v>
      </c>
      <c r="DK10" s="1" t="s">
        <v>69</v>
      </c>
      <c r="DL10" s="1" t="s">
        <v>62</v>
      </c>
      <c r="DM10" s="1" t="s">
        <v>60</v>
      </c>
      <c r="DN10" s="1" t="s">
        <v>58</v>
      </c>
      <c r="DO10" s="1" t="s">
        <v>48</v>
      </c>
      <c r="DP10" s="1" t="s">
        <v>32</v>
      </c>
      <c r="DQ10" s="1" t="s">
        <v>53</v>
      </c>
      <c r="DR10" s="1" t="s">
        <v>62</v>
      </c>
      <c r="DS10" s="1" t="s">
        <v>63</v>
      </c>
      <c r="DT10" s="1" t="s">
        <v>69</v>
      </c>
      <c r="DU10" s="1" t="s">
        <v>61</v>
      </c>
      <c r="DV10" s="1" t="s">
        <v>64</v>
      </c>
      <c r="DW10" s="1" t="s">
        <v>48</v>
      </c>
      <c r="DX10" s="1" t="s">
        <v>39</v>
      </c>
      <c r="DY10" s="1" t="s">
        <v>61</v>
      </c>
      <c r="DZ10" s="1" t="s">
        <v>56</v>
      </c>
      <c r="EA10" s="1" t="s">
        <v>62</v>
      </c>
      <c r="EB10" s="1" t="s">
        <v>32</v>
      </c>
      <c r="EC10" s="1" t="s">
        <v>58</v>
      </c>
      <c r="ED10" s="1" t="s">
        <v>48</v>
      </c>
      <c r="EE10" s="1" t="s">
        <v>65</v>
      </c>
      <c r="EF10" s="1" t="s">
        <v>43</v>
      </c>
      <c r="EG10" s="1" t="s">
        <v>39</v>
      </c>
      <c r="EH10" s="1" t="s">
        <v>50</v>
      </c>
      <c r="EI10" s="1" t="s">
        <v>53</v>
      </c>
      <c r="EJ10" s="1" t="s">
        <v>53</v>
      </c>
      <c r="EK10" s="1" t="s">
        <v>59</v>
      </c>
      <c r="EL10" s="1" t="s">
        <v>39</v>
      </c>
      <c r="EM10" s="1" t="s">
        <v>51</v>
      </c>
      <c r="EN10" s="1" t="s">
        <v>58</v>
      </c>
      <c r="EO10" s="1" t="s">
        <v>55</v>
      </c>
      <c r="EP10" s="1" t="s">
        <v>59</v>
      </c>
      <c r="EQ10" s="1" t="s">
        <v>62</v>
      </c>
      <c r="ER10" s="1" t="s">
        <v>48</v>
      </c>
      <c r="ES10" s="1" t="s">
        <v>20</v>
      </c>
      <c r="ET10" s="1" t="s">
        <v>62</v>
      </c>
      <c r="EU10" s="1" t="s">
        <v>51</v>
      </c>
      <c r="EV10" s="1" t="s">
        <v>63</v>
      </c>
      <c r="EW10" s="1" t="s">
        <v>56</v>
      </c>
      <c r="EX10" s="1" t="s">
        <v>66</v>
      </c>
      <c r="EY10" s="1" t="s">
        <v>43</v>
      </c>
      <c r="EZ10" s="1" t="s">
        <v>56</v>
      </c>
      <c r="FA10" s="1" t="s">
        <v>59</v>
      </c>
      <c r="FB10" s="1" t="s">
        <v>20</v>
      </c>
      <c r="FC10" s="1" t="s">
        <v>63</v>
      </c>
      <c r="FD10" s="1" t="s">
        <v>68</v>
      </c>
      <c r="FE10" s="1" t="s">
        <v>48</v>
      </c>
      <c r="FF10" s="1" t="s">
        <v>20</v>
      </c>
      <c r="FG10" s="1" t="s">
        <v>58</v>
      </c>
      <c r="FH10" s="1" t="s">
        <v>53</v>
      </c>
      <c r="FI10" s="1" t="s">
        <v>64</v>
      </c>
      <c r="FJ10" s="1" t="s">
        <v>62</v>
      </c>
      <c r="FK10" s="1" t="s">
        <v>27</v>
      </c>
      <c r="FL10" s="1" t="s">
        <v>32</v>
      </c>
      <c r="FM10" s="1" t="s">
        <v>56</v>
      </c>
      <c r="FN10" s="1" t="s">
        <v>55</v>
      </c>
      <c r="FO10" s="1" t="s">
        <v>65</v>
      </c>
      <c r="FP10" s="1" t="s">
        <v>43</v>
      </c>
      <c r="FQ10" s="1" t="s">
        <v>63</v>
      </c>
      <c r="FR10" s="1" t="s">
        <v>65</v>
      </c>
      <c r="FS10" s="1" t="s">
        <v>53</v>
      </c>
      <c r="FT10" s="1" t="s">
        <v>32</v>
      </c>
      <c r="FU10" s="1" t="s">
        <v>39</v>
      </c>
      <c r="FV10" s="1" t="s">
        <v>32</v>
      </c>
      <c r="FW10" s="1" t="s">
        <v>61</v>
      </c>
      <c r="FX10" s="1" t="s">
        <v>32</v>
      </c>
      <c r="FY10" s="1" t="s">
        <v>43</v>
      </c>
      <c r="FZ10" s="1" t="s">
        <v>50</v>
      </c>
      <c r="GA10" s="1" t="s">
        <v>59</v>
      </c>
      <c r="GB10" s="1" t="s">
        <v>39</v>
      </c>
      <c r="GC10" s="1" t="s">
        <v>64</v>
      </c>
      <c r="GD10" s="1" t="s">
        <v>39</v>
      </c>
      <c r="GE10" s="1" t="s">
        <v>56</v>
      </c>
      <c r="GF10" s="1" t="s">
        <v>43</v>
      </c>
      <c r="GG10" s="1" t="s">
        <v>53</v>
      </c>
      <c r="GH10" s="1" t="s">
        <v>62</v>
      </c>
      <c r="GI10" s="1" t="s">
        <v>51</v>
      </c>
      <c r="GJ10" s="1" t="s">
        <v>56</v>
      </c>
      <c r="GK10" s="1" t="s">
        <v>60</v>
      </c>
      <c r="GL10" s="1" t="s">
        <v>51</v>
      </c>
      <c r="GM10" s="1" t="s">
        <v>59</v>
      </c>
      <c r="GN10" s="1" t="s">
        <v>65</v>
      </c>
      <c r="GO10" s="1" t="s">
        <v>53</v>
      </c>
      <c r="GP10" s="1" t="s">
        <v>68</v>
      </c>
      <c r="GQ10" s="1" t="s">
        <v>66</v>
      </c>
      <c r="GR10" s="1" t="s">
        <v>51</v>
      </c>
      <c r="GS10" s="1" t="s">
        <v>66</v>
      </c>
      <c r="GT10" s="1" t="s">
        <v>59</v>
      </c>
      <c r="GU10" s="1" t="s">
        <v>65</v>
      </c>
      <c r="GV10" s="1" t="s">
        <v>68</v>
      </c>
      <c r="GW10" s="1" t="s">
        <v>27</v>
      </c>
      <c r="GX10" s="1" t="s">
        <v>60</v>
      </c>
      <c r="GY10" s="1" t="s">
        <v>59</v>
      </c>
      <c r="GZ10" s="1" t="s">
        <v>51</v>
      </c>
      <c r="HA10" s="1" t="s">
        <v>53</v>
      </c>
      <c r="HB10" s="1" t="s">
        <v>50</v>
      </c>
      <c r="HC10" s="1" t="s">
        <v>20</v>
      </c>
      <c r="HD10" s="1" t="s">
        <v>51</v>
      </c>
      <c r="HE10" s="1" t="s">
        <v>61</v>
      </c>
      <c r="HF10" s="1" t="s">
        <v>63</v>
      </c>
      <c r="HG10" s="1" t="s">
        <v>63</v>
      </c>
      <c r="HH10" s="1" t="s">
        <v>27</v>
      </c>
      <c r="HI10" s="1" t="s">
        <v>67</v>
      </c>
      <c r="HJ10" s="1" t="s">
        <v>50</v>
      </c>
      <c r="HK10" s="1" t="s">
        <v>69</v>
      </c>
      <c r="HL10" s="1" t="s">
        <v>64</v>
      </c>
      <c r="HM10" s="1" t="s">
        <v>55</v>
      </c>
      <c r="HN10" s="1" t="s">
        <v>20</v>
      </c>
      <c r="HO10" s="1" t="s">
        <v>51</v>
      </c>
      <c r="HP10" s="1" t="s">
        <v>59</v>
      </c>
      <c r="HQ10" s="1" t="s">
        <v>58</v>
      </c>
      <c r="HR10" s="1" t="s">
        <v>53</v>
      </c>
      <c r="HS10" s="1" t="s">
        <v>63</v>
      </c>
      <c r="HT10" s="1" t="s">
        <v>55</v>
      </c>
      <c r="HU10" s="1" t="s">
        <v>62</v>
      </c>
      <c r="HV10" s="1" t="s">
        <v>68</v>
      </c>
      <c r="HW10" s="1" t="s">
        <v>62</v>
      </c>
      <c r="HX10" s="1" t="s">
        <v>36</v>
      </c>
      <c r="HY10" s="1" t="s">
        <v>59</v>
      </c>
      <c r="HZ10" s="1" t="s">
        <v>55</v>
      </c>
      <c r="IA10" s="1" t="s">
        <v>48</v>
      </c>
      <c r="IB10" s="1" t="s">
        <v>60</v>
      </c>
      <c r="IC10" s="1" t="s">
        <v>60</v>
      </c>
      <c r="ID10" s="1" t="s">
        <v>20</v>
      </c>
      <c r="IE10" s="1" t="s">
        <v>62</v>
      </c>
      <c r="IF10" s="1" t="s">
        <v>63</v>
      </c>
      <c r="IG10" s="1" t="s">
        <v>67</v>
      </c>
      <c r="IH10" s="1" t="s">
        <v>66</v>
      </c>
      <c r="II10" s="1" t="s">
        <v>64</v>
      </c>
      <c r="IJ10" s="1" t="s">
        <v>59</v>
      </c>
      <c r="IK10" s="1" t="s">
        <v>53</v>
      </c>
      <c r="IL10" s="1" t="s">
        <v>51</v>
      </c>
      <c r="IM10" s="1" t="s">
        <v>53</v>
      </c>
      <c r="IN10" s="1" t="s">
        <v>64</v>
      </c>
      <c r="IO10" s="1" t="s">
        <v>39</v>
      </c>
      <c r="IP10" s="1" t="s">
        <v>65</v>
      </c>
      <c r="IQ10" s="1" t="s">
        <v>69</v>
      </c>
      <c r="IR10" s="1" t="s">
        <v>48</v>
      </c>
      <c r="IS10" s="1" t="s">
        <v>60</v>
      </c>
      <c r="IT10" s="1" t="s">
        <v>20</v>
      </c>
      <c r="IU10" s="1" t="s">
        <v>64</v>
      </c>
      <c r="IV10" s="1" t="s">
        <v>20</v>
      </c>
      <c r="IW10" s="1" t="s">
        <v>20</v>
      </c>
      <c r="IX10" s="1" t="s">
        <v>32</v>
      </c>
      <c r="IY10" s="1" t="s">
        <v>59</v>
      </c>
      <c r="IZ10" s="1" t="s">
        <v>51</v>
      </c>
      <c r="JA10" s="1" t="s">
        <v>65</v>
      </c>
      <c r="JB10" s="1" t="s">
        <v>32</v>
      </c>
      <c r="JC10" s="1" t="s">
        <v>59</v>
      </c>
      <c r="JD10" s="1" t="s">
        <v>63</v>
      </c>
      <c r="JE10" s="1" t="s">
        <v>60</v>
      </c>
      <c r="JF10" s="1" t="s">
        <v>61</v>
      </c>
      <c r="JG10" s="1" t="s">
        <v>61</v>
      </c>
      <c r="JH10" s="1" t="s">
        <v>53</v>
      </c>
      <c r="JI10" s="1" t="s">
        <v>39</v>
      </c>
      <c r="JJ10" s="1" t="s">
        <v>51</v>
      </c>
      <c r="JK10" s="1" t="s">
        <v>65</v>
      </c>
      <c r="JL10" s="1" t="s">
        <v>66</v>
      </c>
      <c r="JM10" s="1" t="s">
        <v>48</v>
      </c>
      <c r="JN10" s="1" t="s">
        <v>39</v>
      </c>
      <c r="JO10" s="1" t="s">
        <v>60</v>
      </c>
      <c r="JP10" s="1" t="s">
        <v>64</v>
      </c>
      <c r="JQ10" s="1" t="s">
        <v>53</v>
      </c>
      <c r="JR10" s="1" t="s">
        <v>69</v>
      </c>
      <c r="JS10" s="1" t="s">
        <v>43</v>
      </c>
      <c r="JT10" s="1" t="s">
        <v>60</v>
      </c>
      <c r="JU10" s="1" t="s">
        <v>68</v>
      </c>
      <c r="JV10" s="1" t="s">
        <v>69</v>
      </c>
      <c r="JW10" s="1" t="s">
        <v>67</v>
      </c>
      <c r="JX10" s="1" t="s">
        <v>63</v>
      </c>
      <c r="JY10" s="1" t="s">
        <v>51</v>
      </c>
      <c r="JZ10" s="1" t="s">
        <v>56</v>
      </c>
      <c r="KA10" s="1" t="s">
        <v>58</v>
      </c>
      <c r="KB10" s="1" t="s">
        <v>67</v>
      </c>
      <c r="KC10" s="1" t="s">
        <v>36</v>
      </c>
      <c r="KD10" s="1" t="s">
        <v>58</v>
      </c>
      <c r="KE10" s="1" t="s">
        <v>20</v>
      </c>
      <c r="KF10" s="1" t="s">
        <v>53</v>
      </c>
      <c r="KG10" s="1" t="s">
        <v>67</v>
      </c>
      <c r="KH10" s="1" t="s">
        <v>27</v>
      </c>
      <c r="KI10" s="1" t="s">
        <v>43</v>
      </c>
      <c r="KJ10" s="1" t="s">
        <v>48</v>
      </c>
      <c r="KK10" s="1" t="s">
        <v>48</v>
      </c>
      <c r="KL10" s="1" t="s">
        <v>20</v>
      </c>
      <c r="KM10" s="1" t="s">
        <v>36</v>
      </c>
      <c r="KN10" s="1" t="s">
        <v>43</v>
      </c>
      <c r="KO10" s="1" t="s">
        <v>53</v>
      </c>
      <c r="KP10" s="1" t="s">
        <v>53</v>
      </c>
      <c r="KQ10" s="1" t="s">
        <v>65</v>
      </c>
      <c r="KR10" s="1" t="s">
        <v>67</v>
      </c>
      <c r="KS10" s="1" t="s">
        <v>61</v>
      </c>
      <c r="KT10" s="1" t="s">
        <v>48</v>
      </c>
      <c r="KU10" s="1" t="s">
        <v>62</v>
      </c>
      <c r="KV10" s="1" t="s">
        <v>58</v>
      </c>
      <c r="KW10" s="1" t="s">
        <v>53</v>
      </c>
      <c r="KX10" s="1" t="s">
        <v>51</v>
      </c>
      <c r="KY10" s="1" t="s">
        <v>51</v>
      </c>
      <c r="KZ10" s="1" t="s">
        <v>43</v>
      </c>
      <c r="LA10" s="1" t="s">
        <v>56</v>
      </c>
      <c r="LB10" s="1" t="s">
        <v>62</v>
      </c>
      <c r="LC10" s="1" t="s">
        <v>69</v>
      </c>
      <c r="LD10" s="1" t="s">
        <v>50</v>
      </c>
      <c r="LE10" s="1" t="s">
        <v>58</v>
      </c>
      <c r="LF10" s="1" t="s">
        <v>63</v>
      </c>
      <c r="LG10" s="1" t="s">
        <v>68</v>
      </c>
      <c r="LH10" s="1" t="s">
        <v>50</v>
      </c>
      <c r="LI10" s="1" t="s">
        <v>36</v>
      </c>
      <c r="LJ10" s="1" t="s">
        <v>60</v>
      </c>
      <c r="LK10" s="1" t="s">
        <v>61</v>
      </c>
      <c r="LL10" s="1" t="s">
        <v>48</v>
      </c>
      <c r="LM10" s="1" t="s">
        <v>58</v>
      </c>
      <c r="LN10" s="1" t="s">
        <v>64</v>
      </c>
      <c r="LO10" s="1" t="s">
        <v>60</v>
      </c>
      <c r="LP10" s="1" t="s">
        <v>60</v>
      </c>
      <c r="LQ10" s="1" t="s">
        <v>53</v>
      </c>
      <c r="LR10" s="1" t="s">
        <v>27</v>
      </c>
      <c r="LS10" s="1" t="s">
        <v>64</v>
      </c>
      <c r="LT10" s="1" t="s">
        <v>55</v>
      </c>
      <c r="LU10" s="1" t="s">
        <v>67</v>
      </c>
      <c r="LV10" s="1" t="s">
        <v>60</v>
      </c>
      <c r="LW10" s="1" t="s">
        <v>59</v>
      </c>
      <c r="LX10" s="1" t="s">
        <v>43</v>
      </c>
      <c r="LY10" s="1" t="s">
        <v>66</v>
      </c>
      <c r="LZ10" s="1" t="s">
        <v>62</v>
      </c>
      <c r="MA10" s="1" t="s">
        <v>50</v>
      </c>
      <c r="MB10" s="1" t="s">
        <v>32</v>
      </c>
      <c r="MC10" s="1" t="s">
        <v>50</v>
      </c>
      <c r="MD10" s="1" t="s">
        <v>51</v>
      </c>
      <c r="ME10" s="1" t="s">
        <v>27</v>
      </c>
      <c r="MF10" s="1" t="s">
        <v>51</v>
      </c>
      <c r="MG10" s="1" t="s">
        <v>56</v>
      </c>
      <c r="MH10" s="1" t="s">
        <v>36</v>
      </c>
      <c r="MI10" s="1" t="s">
        <v>36</v>
      </c>
      <c r="MJ10" s="1" t="s">
        <v>20</v>
      </c>
      <c r="MK10" s="1" t="s">
        <v>68</v>
      </c>
      <c r="ML10" s="1" t="s">
        <v>55</v>
      </c>
      <c r="MM10" s="1" t="s">
        <v>62</v>
      </c>
      <c r="MN10" s="1" t="s">
        <v>32</v>
      </c>
      <c r="MO10" s="1" t="s">
        <v>36</v>
      </c>
      <c r="MP10" s="1" t="s">
        <v>67</v>
      </c>
      <c r="MQ10" s="1" t="s">
        <v>58</v>
      </c>
      <c r="MR10" s="1" t="s">
        <v>53</v>
      </c>
      <c r="MS10" s="1" t="s">
        <v>48</v>
      </c>
      <c r="MT10" s="1" t="s">
        <v>58</v>
      </c>
      <c r="MU10" s="1" t="s">
        <v>58</v>
      </c>
      <c r="MV10" s="1" t="s">
        <v>48</v>
      </c>
      <c r="MW10" s="1" t="s">
        <v>32</v>
      </c>
      <c r="MX10" s="1" t="s">
        <v>59</v>
      </c>
      <c r="MY10" s="1" t="s">
        <v>48</v>
      </c>
      <c r="MZ10" s="1" t="s">
        <v>62</v>
      </c>
      <c r="NA10" s="1" t="s">
        <v>67</v>
      </c>
      <c r="NB10" s="1" t="s">
        <v>53</v>
      </c>
      <c r="NC10" s="1" t="s">
        <v>63</v>
      </c>
      <c r="ND10" s="1" t="s">
        <v>62</v>
      </c>
      <c r="NE10" s="1" t="s">
        <v>20</v>
      </c>
      <c r="NF10" s="1" t="s">
        <v>36</v>
      </c>
      <c r="NG10" s="1" t="s">
        <v>63</v>
      </c>
      <c r="NH10" s="1" t="s">
        <v>68</v>
      </c>
      <c r="NI10" s="1" t="s">
        <v>63</v>
      </c>
      <c r="NJ10" s="1" t="s">
        <v>53</v>
      </c>
      <c r="NK10" s="1" t="s">
        <v>58</v>
      </c>
      <c r="NL10" s="1" t="s">
        <v>60</v>
      </c>
      <c r="NM10" s="1" t="s">
        <v>59</v>
      </c>
      <c r="NN10" s="1" t="s">
        <v>56</v>
      </c>
      <c r="NO10" s="1" t="s">
        <v>64</v>
      </c>
      <c r="NP10" s="1" t="s">
        <v>69</v>
      </c>
      <c r="NQ10" s="1" t="s">
        <v>55</v>
      </c>
      <c r="NR10" s="1" t="s">
        <v>56</v>
      </c>
      <c r="NS10" s="1" t="s">
        <v>36</v>
      </c>
      <c r="NT10" s="1" t="s">
        <v>48</v>
      </c>
      <c r="NU10" s="1" t="s">
        <v>55</v>
      </c>
      <c r="NV10" s="1" t="s">
        <v>64</v>
      </c>
      <c r="NW10" s="1" t="s">
        <v>68</v>
      </c>
      <c r="NX10" s="1" t="s">
        <v>32</v>
      </c>
      <c r="NY10" s="1" t="s">
        <v>39</v>
      </c>
      <c r="NZ10" s="1" t="s">
        <v>69</v>
      </c>
      <c r="OA10" s="1" t="s">
        <v>48</v>
      </c>
      <c r="OB10" s="1" t="s">
        <v>66</v>
      </c>
      <c r="OC10" s="1" t="s">
        <v>60</v>
      </c>
      <c r="OD10" s="1" t="s">
        <v>60</v>
      </c>
      <c r="OE10" s="1" t="s">
        <v>50</v>
      </c>
      <c r="OF10" s="1" t="s">
        <v>36</v>
      </c>
      <c r="OG10" s="1" t="s">
        <v>51</v>
      </c>
      <c r="OH10" s="1" t="s">
        <v>39</v>
      </c>
      <c r="OI10" s="1" t="s">
        <v>63</v>
      </c>
      <c r="OJ10" s="1" t="s">
        <v>43</v>
      </c>
      <c r="OK10" s="1" t="s">
        <v>60</v>
      </c>
      <c r="OL10" s="1" t="s">
        <v>48</v>
      </c>
      <c r="OM10" s="1" t="s">
        <v>51</v>
      </c>
      <c r="ON10" s="1" t="s">
        <v>36</v>
      </c>
      <c r="OO10" s="1" t="s">
        <v>66</v>
      </c>
      <c r="OP10" s="1" t="s">
        <v>66</v>
      </c>
      <c r="OQ10" s="1" t="s">
        <v>51</v>
      </c>
      <c r="OR10" s="1" t="s">
        <v>53</v>
      </c>
      <c r="OS10" s="1" t="s">
        <v>63</v>
      </c>
      <c r="OT10" s="1" t="s">
        <v>39</v>
      </c>
      <c r="OU10" s="1" t="s">
        <v>50</v>
      </c>
      <c r="OV10" s="1" t="s">
        <v>43</v>
      </c>
      <c r="OW10" s="1" t="s">
        <v>63</v>
      </c>
      <c r="OX10" s="1" t="s">
        <v>53</v>
      </c>
      <c r="OY10" s="1" t="s">
        <v>36</v>
      </c>
      <c r="OZ10" s="1" t="s">
        <v>67</v>
      </c>
      <c r="PA10" s="1" t="s">
        <v>63</v>
      </c>
      <c r="PB10" s="1" t="s">
        <v>64</v>
      </c>
      <c r="PC10" s="1" t="s">
        <v>56</v>
      </c>
      <c r="PD10" s="1" t="s">
        <v>27</v>
      </c>
      <c r="PE10" s="1" t="s">
        <v>66</v>
      </c>
      <c r="PF10" s="1" t="s">
        <v>64</v>
      </c>
      <c r="PG10" s="1" t="s">
        <v>64</v>
      </c>
      <c r="PH10" s="1" t="s">
        <v>60</v>
      </c>
      <c r="PI10" s="1" t="s">
        <v>56</v>
      </c>
      <c r="PJ10" s="1" t="s">
        <v>39</v>
      </c>
      <c r="PK10" s="1" t="s">
        <v>32</v>
      </c>
      <c r="PL10" s="1" t="s">
        <v>55</v>
      </c>
      <c r="PM10" s="1" t="s">
        <v>51</v>
      </c>
      <c r="PN10" s="1" t="s">
        <v>56</v>
      </c>
      <c r="PO10" s="1" t="s">
        <v>69</v>
      </c>
      <c r="PP10" s="1" t="s">
        <v>51</v>
      </c>
      <c r="PQ10" s="1" t="s">
        <v>61</v>
      </c>
      <c r="PR10" s="1" t="s">
        <v>51</v>
      </c>
      <c r="PS10" s="1" t="s">
        <v>20</v>
      </c>
      <c r="PT10" s="1" t="s">
        <v>56</v>
      </c>
      <c r="PU10" s="1" t="s">
        <v>60</v>
      </c>
      <c r="PV10" s="1" t="s">
        <v>62</v>
      </c>
      <c r="PW10" s="1" t="s">
        <v>61</v>
      </c>
      <c r="PX10" s="1" t="s">
        <v>51</v>
      </c>
      <c r="PY10" s="1" t="s">
        <v>50</v>
      </c>
      <c r="PZ10" s="1" t="s">
        <v>65</v>
      </c>
      <c r="QA10" s="1" t="s">
        <v>58</v>
      </c>
      <c r="QB10" s="1" t="s">
        <v>65</v>
      </c>
      <c r="QC10" s="1" t="s">
        <v>32</v>
      </c>
      <c r="QD10" s="1" t="s">
        <v>48</v>
      </c>
      <c r="QE10" s="1" t="s">
        <v>27</v>
      </c>
      <c r="QF10" s="1" t="s">
        <v>69</v>
      </c>
      <c r="QG10" s="1" t="s">
        <v>20</v>
      </c>
      <c r="QH10" s="1" t="s">
        <v>66</v>
      </c>
      <c r="QI10" s="1" t="s">
        <v>32</v>
      </c>
      <c r="QJ10" s="1" t="s">
        <v>59</v>
      </c>
      <c r="QK10" s="1" t="s">
        <v>68</v>
      </c>
      <c r="QL10" s="1" t="s">
        <v>27</v>
      </c>
      <c r="QM10" s="1" t="s">
        <v>58</v>
      </c>
      <c r="QN10" s="1" t="s">
        <v>64</v>
      </c>
      <c r="QO10" s="1" t="s">
        <v>27</v>
      </c>
      <c r="QP10" s="1" t="s">
        <v>27</v>
      </c>
      <c r="QQ10" s="1" t="s">
        <v>55</v>
      </c>
      <c r="QR10" s="1" t="s">
        <v>63</v>
      </c>
      <c r="QS10" s="1" t="s">
        <v>50</v>
      </c>
      <c r="QT10" s="1" t="s">
        <v>64</v>
      </c>
      <c r="QU10" s="1" t="s">
        <v>64</v>
      </c>
      <c r="QV10" s="1" t="s">
        <v>36</v>
      </c>
      <c r="QW10" s="1" t="s">
        <v>65</v>
      </c>
      <c r="QX10" s="1" t="s">
        <v>43</v>
      </c>
      <c r="QY10" s="1" t="s">
        <v>43</v>
      </c>
      <c r="QZ10" s="1" t="s">
        <v>69</v>
      </c>
      <c r="RA10" s="1" t="s">
        <v>59</v>
      </c>
      <c r="RB10" s="1" t="s">
        <v>48</v>
      </c>
      <c r="RC10" s="1" t="s">
        <v>36</v>
      </c>
      <c r="RD10" s="1" t="s">
        <v>48</v>
      </c>
      <c r="RE10" s="1" t="s">
        <v>48</v>
      </c>
      <c r="RF10" s="1" t="s">
        <v>48</v>
      </c>
      <c r="RG10" s="1" t="s">
        <v>27</v>
      </c>
      <c r="RH10" s="1" t="s">
        <v>55</v>
      </c>
      <c r="RI10" s="1" t="s">
        <v>20</v>
      </c>
      <c r="RJ10" s="1" t="s">
        <v>48</v>
      </c>
      <c r="RK10" s="1" t="s">
        <v>62</v>
      </c>
      <c r="RL10" s="1" t="s">
        <v>68</v>
      </c>
      <c r="RM10" s="1" t="s">
        <v>36</v>
      </c>
      <c r="RN10" s="1" t="s">
        <v>50</v>
      </c>
      <c r="RO10" s="1" t="s">
        <v>67</v>
      </c>
      <c r="RP10" s="1" t="s">
        <v>61</v>
      </c>
      <c r="RQ10" s="1" t="s">
        <v>65</v>
      </c>
      <c r="RR10" s="1" t="s">
        <v>43</v>
      </c>
      <c r="RS10" s="1" t="s">
        <v>63</v>
      </c>
      <c r="RT10" s="1" t="s">
        <v>53</v>
      </c>
      <c r="RU10" s="1" t="s">
        <v>60</v>
      </c>
      <c r="RV10" s="1" t="s">
        <v>62</v>
      </c>
      <c r="RW10" s="1" t="s">
        <v>32</v>
      </c>
      <c r="RX10" s="1" t="s">
        <v>63</v>
      </c>
      <c r="RY10" s="1" t="s">
        <v>32</v>
      </c>
      <c r="RZ10" s="1" t="s">
        <v>68</v>
      </c>
      <c r="SA10" s="1" t="s">
        <v>67</v>
      </c>
      <c r="SB10" s="1" t="s">
        <v>59</v>
      </c>
      <c r="SC10" s="1" t="s">
        <v>60</v>
      </c>
      <c r="SD10" s="1" t="s">
        <v>39</v>
      </c>
      <c r="SE10" s="1" t="s">
        <v>36</v>
      </c>
      <c r="SF10" s="1" t="s">
        <v>60</v>
      </c>
      <c r="SG10" s="1" t="s">
        <v>65</v>
      </c>
    </row>
    <row r="11" spans="1:501" x14ac:dyDescent="0.3">
      <c r="A11" s="3" t="s">
        <v>10</v>
      </c>
      <c r="B11" s="1" t="s">
        <v>21</v>
      </c>
      <c r="C11" s="1" t="s">
        <v>28</v>
      </c>
      <c r="D11" s="1" t="s">
        <v>33</v>
      </c>
      <c r="E11" s="1" t="s">
        <v>21</v>
      </c>
      <c r="F11" s="1" t="s">
        <v>21</v>
      </c>
      <c r="G11" s="1" t="s">
        <v>33</v>
      </c>
      <c r="H11" s="1" t="s">
        <v>45</v>
      </c>
      <c r="I11" s="1" t="s">
        <v>47</v>
      </c>
      <c r="J11" s="1" t="s">
        <v>28</v>
      </c>
      <c r="K11" s="1" t="s">
        <v>47</v>
      </c>
      <c r="L11" s="1" t="s">
        <v>33</v>
      </c>
      <c r="M11" s="1" t="s">
        <v>21</v>
      </c>
      <c r="N11" s="1" t="s">
        <v>21</v>
      </c>
      <c r="O11" s="1" t="s">
        <v>28</v>
      </c>
      <c r="P11" s="1" t="s">
        <v>21</v>
      </c>
      <c r="Q11" s="1" t="s">
        <v>21</v>
      </c>
      <c r="R11" s="1" t="s">
        <v>28</v>
      </c>
      <c r="S11" s="1" t="s">
        <v>28</v>
      </c>
      <c r="T11" s="1" t="s">
        <v>33</v>
      </c>
      <c r="U11" s="1" t="s">
        <v>21</v>
      </c>
      <c r="V11" s="1" t="s">
        <v>21</v>
      </c>
      <c r="W11" s="1" t="s">
        <v>33</v>
      </c>
      <c r="X11" s="1" t="s">
        <v>45</v>
      </c>
      <c r="Y11" s="1" t="s">
        <v>45</v>
      </c>
      <c r="Z11" s="1" t="s">
        <v>45</v>
      </c>
      <c r="AA11" s="1" t="s">
        <v>33</v>
      </c>
      <c r="AB11" s="1" t="s">
        <v>21</v>
      </c>
      <c r="AC11" s="1" t="s">
        <v>33</v>
      </c>
      <c r="AD11" s="1" t="s">
        <v>33</v>
      </c>
      <c r="AE11" s="1" t="s">
        <v>45</v>
      </c>
      <c r="AF11" s="1" t="s">
        <v>47</v>
      </c>
      <c r="AG11" s="1" t="s">
        <v>21</v>
      </c>
      <c r="AH11" s="1" t="s">
        <v>45</v>
      </c>
      <c r="AI11" s="1" t="s">
        <v>47</v>
      </c>
      <c r="AJ11" s="1" t="s">
        <v>47</v>
      </c>
      <c r="AK11" s="1" t="s">
        <v>28</v>
      </c>
      <c r="AL11" s="1" t="s">
        <v>21</v>
      </c>
      <c r="AM11" s="1" t="s">
        <v>47</v>
      </c>
      <c r="AN11" s="1" t="s">
        <v>45</v>
      </c>
      <c r="AO11" s="1" t="s">
        <v>28</v>
      </c>
      <c r="AP11" s="1" t="s">
        <v>21</v>
      </c>
      <c r="AQ11" s="1" t="s">
        <v>33</v>
      </c>
      <c r="AR11" s="1" t="s">
        <v>45</v>
      </c>
      <c r="AS11" s="1" t="s">
        <v>47</v>
      </c>
      <c r="AT11" s="1" t="s">
        <v>47</v>
      </c>
      <c r="AU11" s="1" t="s">
        <v>45</v>
      </c>
      <c r="AV11" s="1" t="s">
        <v>47</v>
      </c>
      <c r="AW11" s="1" t="s">
        <v>28</v>
      </c>
      <c r="AX11" s="1" t="s">
        <v>21</v>
      </c>
      <c r="AY11" s="1" t="s">
        <v>28</v>
      </c>
      <c r="AZ11" s="1" t="s">
        <v>47</v>
      </c>
      <c r="BA11" s="1" t="s">
        <v>33</v>
      </c>
      <c r="BB11" s="1" t="s">
        <v>21</v>
      </c>
      <c r="BC11" s="1" t="s">
        <v>21</v>
      </c>
      <c r="BD11" s="1" t="s">
        <v>45</v>
      </c>
      <c r="BE11" s="1" t="s">
        <v>45</v>
      </c>
      <c r="BF11" s="1" t="s">
        <v>33</v>
      </c>
      <c r="BG11" s="1" t="s">
        <v>21</v>
      </c>
      <c r="BH11" s="1" t="s">
        <v>33</v>
      </c>
      <c r="BI11" s="1" t="s">
        <v>45</v>
      </c>
      <c r="BJ11" s="1" t="s">
        <v>45</v>
      </c>
      <c r="BK11" s="1" t="s">
        <v>21</v>
      </c>
      <c r="BL11" s="1" t="s">
        <v>28</v>
      </c>
      <c r="BM11" s="1" t="s">
        <v>47</v>
      </c>
      <c r="BN11" s="1" t="s">
        <v>45</v>
      </c>
      <c r="BO11" s="1" t="s">
        <v>45</v>
      </c>
      <c r="BP11" s="1" t="s">
        <v>28</v>
      </c>
      <c r="BQ11" s="1" t="s">
        <v>28</v>
      </c>
      <c r="BR11" s="1" t="s">
        <v>33</v>
      </c>
      <c r="BS11" s="1" t="s">
        <v>33</v>
      </c>
      <c r="BT11" s="1" t="s">
        <v>47</v>
      </c>
      <c r="BU11" s="1" t="s">
        <v>47</v>
      </c>
      <c r="BV11" s="1" t="s">
        <v>21</v>
      </c>
      <c r="BW11" s="1" t="s">
        <v>33</v>
      </c>
      <c r="BX11" s="1" t="s">
        <v>45</v>
      </c>
      <c r="BY11" s="1" t="s">
        <v>33</v>
      </c>
      <c r="BZ11" s="1" t="s">
        <v>45</v>
      </c>
      <c r="CA11" s="1" t="s">
        <v>28</v>
      </c>
      <c r="CB11" s="1" t="s">
        <v>33</v>
      </c>
      <c r="CC11" s="1" t="s">
        <v>28</v>
      </c>
      <c r="CD11" s="1" t="s">
        <v>47</v>
      </c>
      <c r="CE11" s="1" t="s">
        <v>47</v>
      </c>
      <c r="CF11" s="1" t="s">
        <v>21</v>
      </c>
      <c r="CG11" s="1" t="s">
        <v>33</v>
      </c>
      <c r="CH11" s="1" t="s">
        <v>28</v>
      </c>
      <c r="CI11" s="1" t="s">
        <v>45</v>
      </c>
      <c r="CJ11" s="1" t="s">
        <v>47</v>
      </c>
      <c r="CK11" s="1" t="s">
        <v>47</v>
      </c>
      <c r="CL11" s="1" t="s">
        <v>45</v>
      </c>
      <c r="CM11" s="1" t="s">
        <v>28</v>
      </c>
      <c r="CN11" s="1" t="s">
        <v>28</v>
      </c>
      <c r="CO11" s="1" t="s">
        <v>33</v>
      </c>
      <c r="CP11" s="1" t="s">
        <v>33</v>
      </c>
      <c r="CQ11" s="1" t="s">
        <v>21</v>
      </c>
      <c r="CR11" s="1" t="s">
        <v>47</v>
      </c>
      <c r="CS11" s="1" t="s">
        <v>33</v>
      </c>
      <c r="CT11" s="1" t="s">
        <v>28</v>
      </c>
      <c r="CU11" s="1" t="s">
        <v>45</v>
      </c>
      <c r="CV11" s="1" t="s">
        <v>28</v>
      </c>
      <c r="CW11" s="1" t="s">
        <v>47</v>
      </c>
      <c r="CX11" s="1" t="s">
        <v>28</v>
      </c>
      <c r="CY11" s="1" t="s">
        <v>21</v>
      </c>
      <c r="CZ11" s="1" t="s">
        <v>47</v>
      </c>
      <c r="DA11" s="1" t="s">
        <v>45</v>
      </c>
      <c r="DB11" s="1" t="s">
        <v>21</v>
      </c>
      <c r="DC11" s="1" t="s">
        <v>47</v>
      </c>
      <c r="DD11" s="1" t="s">
        <v>45</v>
      </c>
      <c r="DE11" s="1" t="s">
        <v>21</v>
      </c>
      <c r="DF11" s="1" t="s">
        <v>21</v>
      </c>
      <c r="DG11" s="1" t="s">
        <v>47</v>
      </c>
      <c r="DH11" s="1" t="s">
        <v>33</v>
      </c>
      <c r="DI11" s="1" t="s">
        <v>21</v>
      </c>
      <c r="DJ11" s="1" t="s">
        <v>21</v>
      </c>
      <c r="DK11" s="1" t="s">
        <v>45</v>
      </c>
      <c r="DL11" s="1" t="s">
        <v>28</v>
      </c>
      <c r="DM11" s="1" t="s">
        <v>47</v>
      </c>
      <c r="DN11" s="1" t="s">
        <v>47</v>
      </c>
      <c r="DO11" s="1" t="s">
        <v>33</v>
      </c>
      <c r="DP11" s="1" t="s">
        <v>33</v>
      </c>
      <c r="DQ11" s="1" t="s">
        <v>47</v>
      </c>
      <c r="DR11" s="1" t="s">
        <v>33</v>
      </c>
      <c r="DS11" s="1" t="s">
        <v>45</v>
      </c>
      <c r="DT11" s="1" t="s">
        <v>47</v>
      </c>
      <c r="DU11" s="1" t="s">
        <v>33</v>
      </c>
      <c r="DV11" s="1" t="s">
        <v>47</v>
      </c>
      <c r="DW11" s="1" t="s">
        <v>28</v>
      </c>
      <c r="DX11" s="1" t="s">
        <v>21</v>
      </c>
      <c r="DY11" s="1" t="s">
        <v>47</v>
      </c>
      <c r="DZ11" s="1" t="s">
        <v>21</v>
      </c>
      <c r="EA11" s="1" t="s">
        <v>33</v>
      </c>
      <c r="EB11" s="1" t="s">
        <v>21</v>
      </c>
      <c r="EC11" s="1" t="s">
        <v>47</v>
      </c>
      <c r="ED11" s="1" t="s">
        <v>28</v>
      </c>
      <c r="EE11" s="1" t="s">
        <v>33</v>
      </c>
      <c r="EF11" s="1" t="s">
        <v>47</v>
      </c>
      <c r="EG11" s="1" t="s">
        <v>33</v>
      </c>
      <c r="EH11" s="1" t="s">
        <v>45</v>
      </c>
      <c r="EI11" s="1" t="s">
        <v>21</v>
      </c>
      <c r="EJ11" s="1" t="s">
        <v>45</v>
      </c>
      <c r="EK11" s="1" t="s">
        <v>47</v>
      </c>
      <c r="EL11" s="1" t="s">
        <v>28</v>
      </c>
      <c r="EM11" s="1" t="s">
        <v>33</v>
      </c>
      <c r="EN11" s="1" t="s">
        <v>21</v>
      </c>
      <c r="EO11" s="1" t="s">
        <v>33</v>
      </c>
      <c r="EP11" s="1" t="s">
        <v>47</v>
      </c>
      <c r="EQ11" s="1" t="s">
        <v>33</v>
      </c>
      <c r="ER11" s="1" t="s">
        <v>21</v>
      </c>
      <c r="ES11" s="1" t="s">
        <v>47</v>
      </c>
      <c r="ET11" s="1" t="s">
        <v>33</v>
      </c>
      <c r="EU11" s="1" t="s">
        <v>28</v>
      </c>
      <c r="EV11" s="1" t="s">
        <v>47</v>
      </c>
      <c r="EW11" s="1" t="s">
        <v>47</v>
      </c>
      <c r="EX11" s="1" t="s">
        <v>28</v>
      </c>
      <c r="EY11" s="1" t="s">
        <v>45</v>
      </c>
      <c r="EZ11" s="1" t="s">
        <v>21</v>
      </c>
      <c r="FA11" s="1" t="s">
        <v>45</v>
      </c>
      <c r="FB11" s="1" t="s">
        <v>33</v>
      </c>
      <c r="FC11" s="1" t="s">
        <v>28</v>
      </c>
      <c r="FD11" s="1" t="s">
        <v>45</v>
      </c>
      <c r="FE11" s="1" t="s">
        <v>47</v>
      </c>
      <c r="FF11" s="1" t="s">
        <v>33</v>
      </c>
      <c r="FG11" s="1" t="s">
        <v>33</v>
      </c>
      <c r="FH11" s="1" t="s">
        <v>45</v>
      </c>
      <c r="FI11" s="1" t="s">
        <v>45</v>
      </c>
      <c r="FJ11" s="1" t="s">
        <v>28</v>
      </c>
      <c r="FK11" s="1" t="s">
        <v>21</v>
      </c>
      <c r="FL11" s="1" t="s">
        <v>45</v>
      </c>
      <c r="FM11" s="1" t="s">
        <v>45</v>
      </c>
      <c r="FN11" s="1" t="s">
        <v>47</v>
      </c>
      <c r="FO11" s="1" t="s">
        <v>33</v>
      </c>
      <c r="FP11" s="1" t="s">
        <v>21</v>
      </c>
      <c r="FQ11" s="1" t="s">
        <v>47</v>
      </c>
      <c r="FR11" s="1" t="s">
        <v>28</v>
      </c>
      <c r="FS11" s="1" t="s">
        <v>28</v>
      </c>
      <c r="FT11" s="1" t="s">
        <v>45</v>
      </c>
      <c r="FU11" s="1" t="s">
        <v>45</v>
      </c>
      <c r="FV11" s="1" t="s">
        <v>28</v>
      </c>
      <c r="FW11" s="1" t="s">
        <v>45</v>
      </c>
      <c r="FX11" s="1" t="s">
        <v>21</v>
      </c>
      <c r="FY11" s="1" t="s">
        <v>45</v>
      </c>
      <c r="FZ11" s="1" t="s">
        <v>33</v>
      </c>
      <c r="GA11" s="1" t="s">
        <v>45</v>
      </c>
      <c r="GB11" s="1" t="s">
        <v>47</v>
      </c>
      <c r="GC11" s="1" t="s">
        <v>21</v>
      </c>
      <c r="GD11" s="1" t="s">
        <v>47</v>
      </c>
      <c r="GE11" s="1" t="s">
        <v>47</v>
      </c>
      <c r="GF11" s="1" t="s">
        <v>33</v>
      </c>
      <c r="GG11" s="1" t="s">
        <v>21</v>
      </c>
      <c r="GH11" s="1" t="s">
        <v>21</v>
      </c>
      <c r="GI11" s="1" t="s">
        <v>21</v>
      </c>
      <c r="GJ11" s="1" t="s">
        <v>21</v>
      </c>
      <c r="GK11" s="1" t="s">
        <v>21</v>
      </c>
      <c r="GL11" s="1" t="s">
        <v>33</v>
      </c>
      <c r="GM11" s="1" t="s">
        <v>45</v>
      </c>
      <c r="GN11" s="1" t="s">
        <v>47</v>
      </c>
      <c r="GO11" s="1" t="s">
        <v>21</v>
      </c>
      <c r="GP11" s="1" t="s">
        <v>45</v>
      </c>
      <c r="GQ11" s="1" t="s">
        <v>45</v>
      </c>
      <c r="GR11" s="1" t="s">
        <v>47</v>
      </c>
      <c r="GS11" s="1" t="s">
        <v>33</v>
      </c>
      <c r="GT11" s="1" t="s">
        <v>28</v>
      </c>
      <c r="GU11" s="1" t="s">
        <v>28</v>
      </c>
      <c r="GV11" s="1" t="s">
        <v>45</v>
      </c>
      <c r="GW11" s="1" t="s">
        <v>47</v>
      </c>
      <c r="GX11" s="1" t="s">
        <v>28</v>
      </c>
      <c r="GY11" s="1" t="s">
        <v>45</v>
      </c>
      <c r="GZ11" s="1" t="s">
        <v>33</v>
      </c>
      <c r="HA11" s="1" t="s">
        <v>28</v>
      </c>
      <c r="HB11" s="1" t="s">
        <v>45</v>
      </c>
      <c r="HC11" s="1" t="s">
        <v>45</v>
      </c>
      <c r="HD11" s="1" t="s">
        <v>21</v>
      </c>
      <c r="HE11" s="1" t="s">
        <v>33</v>
      </c>
      <c r="HF11" s="1" t="s">
        <v>21</v>
      </c>
      <c r="HG11" s="1" t="s">
        <v>47</v>
      </c>
      <c r="HH11" s="1" t="s">
        <v>21</v>
      </c>
      <c r="HI11" s="1" t="s">
        <v>21</v>
      </c>
      <c r="HJ11" s="1" t="s">
        <v>28</v>
      </c>
      <c r="HK11" s="1" t="s">
        <v>45</v>
      </c>
      <c r="HL11" s="1" t="s">
        <v>33</v>
      </c>
      <c r="HM11" s="1" t="s">
        <v>21</v>
      </c>
      <c r="HN11" s="1" t="s">
        <v>33</v>
      </c>
      <c r="HO11" s="1" t="s">
        <v>21</v>
      </c>
      <c r="HP11" s="1" t="s">
        <v>47</v>
      </c>
      <c r="HQ11" s="1" t="s">
        <v>21</v>
      </c>
      <c r="HR11" s="1" t="s">
        <v>28</v>
      </c>
      <c r="HS11" s="1" t="s">
        <v>45</v>
      </c>
      <c r="HT11" s="1" t="s">
        <v>47</v>
      </c>
      <c r="HU11" s="1" t="s">
        <v>21</v>
      </c>
      <c r="HV11" s="1" t="s">
        <v>33</v>
      </c>
      <c r="HW11" s="1" t="s">
        <v>47</v>
      </c>
      <c r="HX11" s="1" t="s">
        <v>47</v>
      </c>
      <c r="HY11" s="1" t="s">
        <v>21</v>
      </c>
      <c r="HZ11" s="1" t="s">
        <v>47</v>
      </c>
      <c r="IA11" s="1" t="s">
        <v>33</v>
      </c>
      <c r="IB11" s="1" t="s">
        <v>47</v>
      </c>
      <c r="IC11" s="1" t="s">
        <v>33</v>
      </c>
      <c r="ID11" s="1" t="s">
        <v>21</v>
      </c>
      <c r="IE11" s="1" t="s">
        <v>45</v>
      </c>
      <c r="IF11" s="1" t="s">
        <v>47</v>
      </c>
      <c r="IG11" s="1" t="s">
        <v>45</v>
      </c>
      <c r="IH11" s="1" t="s">
        <v>33</v>
      </c>
      <c r="II11" s="1" t="s">
        <v>47</v>
      </c>
      <c r="IJ11" s="1" t="s">
        <v>28</v>
      </c>
      <c r="IK11" s="1" t="s">
        <v>45</v>
      </c>
      <c r="IL11" s="1" t="s">
        <v>47</v>
      </c>
      <c r="IM11" s="1" t="s">
        <v>45</v>
      </c>
      <c r="IN11" s="1" t="s">
        <v>47</v>
      </c>
      <c r="IO11" s="1" t="s">
        <v>21</v>
      </c>
      <c r="IP11" s="1" t="s">
        <v>45</v>
      </c>
      <c r="IQ11" s="1" t="s">
        <v>28</v>
      </c>
      <c r="IR11" s="1" t="s">
        <v>28</v>
      </c>
      <c r="IS11" s="1" t="s">
        <v>33</v>
      </c>
      <c r="IT11" s="1" t="s">
        <v>47</v>
      </c>
      <c r="IU11" s="1" t="s">
        <v>45</v>
      </c>
      <c r="IV11" s="1" t="s">
        <v>33</v>
      </c>
      <c r="IW11" s="1" t="s">
        <v>45</v>
      </c>
      <c r="IX11" s="1" t="s">
        <v>47</v>
      </c>
      <c r="IY11" s="1" t="s">
        <v>28</v>
      </c>
      <c r="IZ11" s="1" t="s">
        <v>21</v>
      </c>
      <c r="JA11" s="1" t="s">
        <v>28</v>
      </c>
      <c r="JB11" s="1" t="s">
        <v>33</v>
      </c>
      <c r="JC11" s="1" t="s">
        <v>21</v>
      </c>
      <c r="JD11" s="1" t="s">
        <v>33</v>
      </c>
      <c r="JE11" s="1" t="s">
        <v>47</v>
      </c>
      <c r="JF11" s="1" t="s">
        <v>21</v>
      </c>
      <c r="JG11" s="1" t="s">
        <v>33</v>
      </c>
      <c r="JH11" s="1" t="s">
        <v>47</v>
      </c>
      <c r="JI11" s="1" t="s">
        <v>28</v>
      </c>
      <c r="JJ11" s="1" t="s">
        <v>47</v>
      </c>
      <c r="JK11" s="1" t="s">
        <v>45</v>
      </c>
      <c r="JL11" s="1" t="s">
        <v>47</v>
      </c>
      <c r="JM11" s="1" t="s">
        <v>47</v>
      </c>
      <c r="JN11" s="1" t="s">
        <v>45</v>
      </c>
      <c r="JO11" s="1" t="s">
        <v>33</v>
      </c>
      <c r="JP11" s="1" t="s">
        <v>33</v>
      </c>
      <c r="JQ11" s="1" t="s">
        <v>47</v>
      </c>
      <c r="JR11" s="1" t="s">
        <v>45</v>
      </c>
      <c r="JS11" s="1" t="s">
        <v>45</v>
      </c>
      <c r="JT11" s="1" t="s">
        <v>28</v>
      </c>
      <c r="JU11" s="1" t="s">
        <v>33</v>
      </c>
      <c r="JV11" s="1" t="s">
        <v>21</v>
      </c>
      <c r="JW11" s="1" t="s">
        <v>33</v>
      </c>
      <c r="JX11" s="1" t="s">
        <v>33</v>
      </c>
      <c r="JY11" s="1" t="s">
        <v>28</v>
      </c>
      <c r="JZ11" s="1" t="s">
        <v>21</v>
      </c>
      <c r="KA11" s="1" t="s">
        <v>28</v>
      </c>
      <c r="KB11" s="1" t="s">
        <v>21</v>
      </c>
      <c r="KC11" s="1" t="s">
        <v>47</v>
      </c>
      <c r="KD11" s="1" t="s">
        <v>21</v>
      </c>
      <c r="KE11" s="1" t="s">
        <v>28</v>
      </c>
      <c r="KF11" s="1" t="s">
        <v>33</v>
      </c>
      <c r="KG11" s="1" t="s">
        <v>21</v>
      </c>
      <c r="KH11" s="1" t="s">
        <v>21</v>
      </c>
      <c r="KI11" s="1" t="s">
        <v>45</v>
      </c>
      <c r="KJ11" s="1" t="s">
        <v>33</v>
      </c>
      <c r="KK11" s="1" t="s">
        <v>47</v>
      </c>
      <c r="KL11" s="1" t="s">
        <v>28</v>
      </c>
      <c r="KM11" s="1" t="s">
        <v>47</v>
      </c>
      <c r="KN11" s="1" t="s">
        <v>33</v>
      </c>
      <c r="KO11" s="1" t="s">
        <v>21</v>
      </c>
      <c r="KP11" s="1" t="s">
        <v>21</v>
      </c>
      <c r="KQ11" s="1" t="s">
        <v>33</v>
      </c>
      <c r="KR11" s="1" t="s">
        <v>21</v>
      </c>
      <c r="KS11" s="1" t="s">
        <v>21</v>
      </c>
      <c r="KT11" s="1" t="s">
        <v>21</v>
      </c>
      <c r="KU11" s="1" t="s">
        <v>28</v>
      </c>
      <c r="KV11" s="1" t="s">
        <v>28</v>
      </c>
      <c r="KW11" s="1" t="s">
        <v>45</v>
      </c>
      <c r="KX11" s="1" t="s">
        <v>47</v>
      </c>
      <c r="KY11" s="1" t="s">
        <v>33</v>
      </c>
      <c r="KZ11" s="1" t="s">
        <v>33</v>
      </c>
      <c r="LA11" s="1" t="s">
        <v>33</v>
      </c>
      <c r="LB11" s="1" t="s">
        <v>45</v>
      </c>
      <c r="LC11" s="1" t="s">
        <v>28</v>
      </c>
      <c r="LD11" s="1" t="s">
        <v>45</v>
      </c>
      <c r="LE11" s="1" t="s">
        <v>33</v>
      </c>
      <c r="LF11" s="1" t="s">
        <v>47</v>
      </c>
      <c r="LG11" s="1" t="s">
        <v>21</v>
      </c>
      <c r="LH11" s="1" t="s">
        <v>28</v>
      </c>
      <c r="LI11" s="1" t="s">
        <v>28</v>
      </c>
      <c r="LJ11" s="1" t="s">
        <v>45</v>
      </c>
      <c r="LK11" s="1" t="s">
        <v>28</v>
      </c>
      <c r="LL11" s="1" t="s">
        <v>33</v>
      </c>
      <c r="LM11" s="1" t="s">
        <v>33</v>
      </c>
      <c r="LN11" s="1" t="s">
        <v>45</v>
      </c>
      <c r="LO11" s="1" t="s">
        <v>33</v>
      </c>
      <c r="LP11" s="1" t="s">
        <v>47</v>
      </c>
      <c r="LQ11" s="1" t="s">
        <v>45</v>
      </c>
      <c r="LR11" s="1" t="s">
        <v>47</v>
      </c>
      <c r="LS11" s="1" t="s">
        <v>21</v>
      </c>
      <c r="LT11" s="1" t="s">
        <v>47</v>
      </c>
      <c r="LU11" s="1" t="s">
        <v>21</v>
      </c>
      <c r="LV11" s="1" t="s">
        <v>21</v>
      </c>
      <c r="LW11" s="1" t="s">
        <v>47</v>
      </c>
      <c r="LX11" s="1" t="s">
        <v>45</v>
      </c>
      <c r="LY11" s="1" t="s">
        <v>33</v>
      </c>
      <c r="LZ11" s="1" t="s">
        <v>33</v>
      </c>
      <c r="MA11" s="1" t="s">
        <v>21</v>
      </c>
      <c r="MB11" s="1" t="s">
        <v>21</v>
      </c>
      <c r="MC11" s="1" t="s">
        <v>45</v>
      </c>
      <c r="MD11" s="1" t="s">
        <v>28</v>
      </c>
      <c r="ME11" s="1" t="s">
        <v>47</v>
      </c>
      <c r="MF11" s="1" t="s">
        <v>21</v>
      </c>
      <c r="MG11" s="1" t="s">
        <v>33</v>
      </c>
      <c r="MH11" s="1" t="s">
        <v>45</v>
      </c>
      <c r="MI11" s="1" t="s">
        <v>47</v>
      </c>
      <c r="MJ11" s="1" t="s">
        <v>45</v>
      </c>
      <c r="MK11" s="1" t="s">
        <v>47</v>
      </c>
      <c r="ML11" s="1" t="s">
        <v>47</v>
      </c>
      <c r="MM11" s="1" t="s">
        <v>21</v>
      </c>
      <c r="MN11" s="1" t="s">
        <v>45</v>
      </c>
      <c r="MO11" s="1" t="s">
        <v>45</v>
      </c>
      <c r="MP11" s="1" t="s">
        <v>33</v>
      </c>
      <c r="MQ11" s="1" t="s">
        <v>33</v>
      </c>
      <c r="MR11" s="1" t="s">
        <v>21</v>
      </c>
      <c r="MS11" s="1" t="s">
        <v>21</v>
      </c>
      <c r="MT11" s="1" t="s">
        <v>28</v>
      </c>
      <c r="MU11" s="1" t="s">
        <v>33</v>
      </c>
      <c r="MV11" s="1" t="s">
        <v>47</v>
      </c>
      <c r="MW11" s="1" t="s">
        <v>45</v>
      </c>
      <c r="MX11" s="1" t="s">
        <v>21</v>
      </c>
      <c r="MY11" s="1" t="s">
        <v>45</v>
      </c>
      <c r="MZ11" s="1" t="s">
        <v>45</v>
      </c>
      <c r="NA11" s="1" t="s">
        <v>28</v>
      </c>
      <c r="NB11" s="1" t="s">
        <v>33</v>
      </c>
      <c r="NC11" s="1" t="s">
        <v>21</v>
      </c>
      <c r="ND11" s="1" t="s">
        <v>45</v>
      </c>
      <c r="NE11" s="1" t="s">
        <v>21</v>
      </c>
      <c r="NF11" s="1" t="s">
        <v>47</v>
      </c>
      <c r="NG11" s="1" t="s">
        <v>28</v>
      </c>
      <c r="NH11" s="1" t="s">
        <v>47</v>
      </c>
      <c r="NI11" s="1" t="s">
        <v>21</v>
      </c>
      <c r="NJ11" s="1" t="s">
        <v>21</v>
      </c>
      <c r="NK11" s="1" t="s">
        <v>33</v>
      </c>
      <c r="NL11" s="1" t="s">
        <v>45</v>
      </c>
      <c r="NM11" s="1" t="s">
        <v>45</v>
      </c>
      <c r="NN11" s="1" t="s">
        <v>47</v>
      </c>
      <c r="NO11" s="1" t="s">
        <v>28</v>
      </c>
      <c r="NP11" s="1" t="s">
        <v>45</v>
      </c>
      <c r="NQ11" s="1" t="s">
        <v>33</v>
      </c>
      <c r="NR11" s="1" t="s">
        <v>47</v>
      </c>
      <c r="NS11" s="1" t="s">
        <v>47</v>
      </c>
      <c r="NT11" s="1" t="s">
        <v>33</v>
      </c>
      <c r="NU11" s="1" t="s">
        <v>28</v>
      </c>
      <c r="NV11" s="1" t="s">
        <v>33</v>
      </c>
      <c r="NW11" s="1" t="s">
        <v>28</v>
      </c>
      <c r="NX11" s="1" t="s">
        <v>33</v>
      </c>
      <c r="NY11" s="1" t="s">
        <v>33</v>
      </c>
      <c r="NZ11" s="1" t="s">
        <v>21</v>
      </c>
      <c r="OA11" s="1" t="s">
        <v>47</v>
      </c>
      <c r="OB11" s="1" t="s">
        <v>33</v>
      </c>
      <c r="OC11" s="1" t="s">
        <v>33</v>
      </c>
      <c r="OD11" s="1" t="s">
        <v>45</v>
      </c>
      <c r="OE11" s="1" t="s">
        <v>47</v>
      </c>
      <c r="OF11" s="1" t="s">
        <v>45</v>
      </c>
      <c r="OG11" s="1" t="s">
        <v>47</v>
      </c>
      <c r="OH11" s="1" t="s">
        <v>45</v>
      </c>
      <c r="OI11" s="1" t="s">
        <v>33</v>
      </c>
      <c r="OJ11" s="1" t="s">
        <v>33</v>
      </c>
      <c r="OK11" s="1" t="s">
        <v>21</v>
      </c>
      <c r="OL11" s="1" t="s">
        <v>45</v>
      </c>
      <c r="OM11" s="1" t="s">
        <v>28</v>
      </c>
      <c r="ON11" s="1" t="s">
        <v>21</v>
      </c>
      <c r="OO11" s="1" t="s">
        <v>45</v>
      </c>
      <c r="OP11" s="1" t="s">
        <v>45</v>
      </c>
      <c r="OQ11" s="1" t="s">
        <v>21</v>
      </c>
      <c r="OR11" s="1" t="s">
        <v>33</v>
      </c>
      <c r="OS11" s="1" t="s">
        <v>45</v>
      </c>
      <c r="OT11" s="1" t="s">
        <v>33</v>
      </c>
      <c r="OU11" s="1" t="s">
        <v>21</v>
      </c>
      <c r="OV11" s="1" t="s">
        <v>33</v>
      </c>
      <c r="OW11" s="1" t="s">
        <v>47</v>
      </c>
      <c r="OX11" s="1" t="s">
        <v>28</v>
      </c>
      <c r="OY11" s="1" t="s">
        <v>45</v>
      </c>
      <c r="OZ11" s="1" t="s">
        <v>28</v>
      </c>
      <c r="PA11" s="1" t="s">
        <v>33</v>
      </c>
      <c r="PB11" s="1" t="s">
        <v>45</v>
      </c>
      <c r="PC11" s="1" t="s">
        <v>33</v>
      </c>
      <c r="PD11" s="1" t="s">
        <v>47</v>
      </c>
      <c r="PE11" s="1" t="s">
        <v>21</v>
      </c>
      <c r="PF11" s="1" t="s">
        <v>45</v>
      </c>
      <c r="PG11" s="1" t="s">
        <v>47</v>
      </c>
      <c r="PH11" s="1" t="s">
        <v>47</v>
      </c>
      <c r="PI11" s="1" t="s">
        <v>45</v>
      </c>
      <c r="PJ11" s="1" t="s">
        <v>33</v>
      </c>
      <c r="PK11" s="1" t="s">
        <v>47</v>
      </c>
      <c r="PL11" s="1" t="s">
        <v>28</v>
      </c>
      <c r="PM11" s="1" t="s">
        <v>47</v>
      </c>
      <c r="PN11" s="1" t="s">
        <v>33</v>
      </c>
      <c r="PO11" s="1" t="s">
        <v>33</v>
      </c>
      <c r="PP11" s="1" t="s">
        <v>28</v>
      </c>
      <c r="PQ11" s="1" t="s">
        <v>47</v>
      </c>
      <c r="PR11" s="1" t="s">
        <v>33</v>
      </c>
      <c r="PS11" s="1" t="s">
        <v>45</v>
      </c>
      <c r="PT11" s="1" t="s">
        <v>21</v>
      </c>
      <c r="PU11" s="1" t="s">
        <v>21</v>
      </c>
      <c r="PV11" s="1" t="s">
        <v>21</v>
      </c>
      <c r="PW11" s="1" t="s">
        <v>47</v>
      </c>
      <c r="PX11" s="1" t="s">
        <v>28</v>
      </c>
      <c r="PY11" s="1" t="s">
        <v>33</v>
      </c>
      <c r="PZ11" s="1" t="s">
        <v>45</v>
      </c>
      <c r="QA11" s="1" t="s">
        <v>45</v>
      </c>
      <c r="QB11" s="1" t="s">
        <v>47</v>
      </c>
      <c r="QC11" s="1" t="s">
        <v>21</v>
      </c>
      <c r="QD11" s="1" t="s">
        <v>47</v>
      </c>
      <c r="QE11" s="1" t="s">
        <v>28</v>
      </c>
      <c r="QF11" s="1" t="s">
        <v>28</v>
      </c>
      <c r="QG11" s="1" t="s">
        <v>33</v>
      </c>
      <c r="QH11" s="1" t="s">
        <v>33</v>
      </c>
      <c r="QI11" s="1" t="s">
        <v>28</v>
      </c>
      <c r="QJ11" s="1" t="s">
        <v>28</v>
      </c>
      <c r="QK11" s="1" t="s">
        <v>28</v>
      </c>
      <c r="QL11" s="1" t="s">
        <v>47</v>
      </c>
      <c r="QM11" s="1" t="s">
        <v>28</v>
      </c>
      <c r="QN11" s="1" t="s">
        <v>45</v>
      </c>
      <c r="QO11" s="1" t="s">
        <v>21</v>
      </c>
      <c r="QP11" s="1" t="s">
        <v>28</v>
      </c>
      <c r="QQ11" s="1" t="s">
        <v>21</v>
      </c>
      <c r="QR11" s="1" t="s">
        <v>47</v>
      </c>
      <c r="QS11" s="1" t="s">
        <v>21</v>
      </c>
      <c r="QT11" s="1" t="s">
        <v>47</v>
      </c>
      <c r="QU11" s="1" t="s">
        <v>45</v>
      </c>
      <c r="QV11" s="1" t="s">
        <v>47</v>
      </c>
      <c r="QW11" s="1" t="s">
        <v>47</v>
      </c>
      <c r="QX11" s="1" t="s">
        <v>33</v>
      </c>
      <c r="QY11" s="1" t="s">
        <v>28</v>
      </c>
      <c r="QZ11" s="1" t="s">
        <v>28</v>
      </c>
      <c r="RA11" s="1" t="s">
        <v>45</v>
      </c>
      <c r="RB11" s="1" t="s">
        <v>45</v>
      </c>
      <c r="RC11" s="1" t="s">
        <v>28</v>
      </c>
      <c r="RD11" s="1" t="s">
        <v>33</v>
      </c>
      <c r="RE11" s="1" t="s">
        <v>28</v>
      </c>
      <c r="RF11" s="1" t="s">
        <v>33</v>
      </c>
      <c r="RG11" s="1" t="s">
        <v>45</v>
      </c>
      <c r="RH11" s="1" t="s">
        <v>21</v>
      </c>
      <c r="RI11" s="1" t="s">
        <v>45</v>
      </c>
      <c r="RJ11" s="1" t="s">
        <v>45</v>
      </c>
      <c r="RK11" s="1" t="s">
        <v>47</v>
      </c>
      <c r="RL11" s="1" t="s">
        <v>47</v>
      </c>
      <c r="RM11" s="1" t="s">
        <v>47</v>
      </c>
      <c r="RN11" s="1" t="s">
        <v>47</v>
      </c>
      <c r="RO11" s="1" t="s">
        <v>33</v>
      </c>
      <c r="RP11" s="1" t="s">
        <v>28</v>
      </c>
      <c r="RQ11" s="1" t="s">
        <v>21</v>
      </c>
      <c r="RR11" s="1" t="s">
        <v>45</v>
      </c>
      <c r="RS11" s="1" t="s">
        <v>33</v>
      </c>
      <c r="RT11" s="1" t="s">
        <v>21</v>
      </c>
      <c r="RU11" s="1" t="s">
        <v>33</v>
      </c>
      <c r="RV11" s="1" t="s">
        <v>33</v>
      </c>
      <c r="RW11" s="1" t="s">
        <v>45</v>
      </c>
      <c r="RX11" s="1" t="s">
        <v>28</v>
      </c>
      <c r="RY11" s="1" t="s">
        <v>47</v>
      </c>
      <c r="RZ11" s="1" t="s">
        <v>28</v>
      </c>
      <c r="SA11" s="1" t="s">
        <v>45</v>
      </c>
      <c r="SB11" s="1" t="s">
        <v>45</v>
      </c>
      <c r="SC11" s="1" t="s">
        <v>45</v>
      </c>
      <c r="SD11" s="1" t="s">
        <v>21</v>
      </c>
      <c r="SE11" s="1" t="s">
        <v>28</v>
      </c>
      <c r="SF11" s="1" t="s">
        <v>28</v>
      </c>
      <c r="SG11" s="1" t="s">
        <v>33</v>
      </c>
    </row>
    <row r="12" spans="1:501" x14ac:dyDescent="0.3">
      <c r="A12" s="3" t="s">
        <v>11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5</v>
      </c>
      <c r="BA12" s="1">
        <v>3</v>
      </c>
      <c r="BB12" s="1">
        <v>5</v>
      </c>
      <c r="BC12" s="1">
        <v>8</v>
      </c>
      <c r="BD12" s="1">
        <v>2</v>
      </c>
      <c r="BE12" s="1">
        <v>6</v>
      </c>
      <c r="BF12" s="1">
        <v>9</v>
      </c>
      <c r="BG12" s="1">
        <v>8</v>
      </c>
      <c r="BH12" s="1">
        <v>8</v>
      </c>
      <c r="BI12" s="1">
        <v>8</v>
      </c>
      <c r="BJ12" s="1">
        <v>7</v>
      </c>
      <c r="BK12" s="1">
        <v>8</v>
      </c>
      <c r="BL12" s="1">
        <v>6</v>
      </c>
      <c r="BM12" s="1">
        <v>2</v>
      </c>
      <c r="BN12" s="1">
        <v>2</v>
      </c>
      <c r="BO12" s="1">
        <v>8</v>
      </c>
      <c r="BP12" s="1">
        <v>1</v>
      </c>
      <c r="BQ12" s="1">
        <v>6</v>
      </c>
      <c r="BR12" s="1">
        <v>6</v>
      </c>
      <c r="BS12" s="1">
        <v>4</v>
      </c>
      <c r="BT12" s="1">
        <v>3</v>
      </c>
      <c r="BU12" s="1">
        <v>3</v>
      </c>
      <c r="BV12" s="1">
        <v>1</v>
      </c>
      <c r="BW12" s="1">
        <v>3</v>
      </c>
      <c r="BX12" s="1">
        <v>4</v>
      </c>
      <c r="BY12" s="1">
        <v>5</v>
      </c>
      <c r="BZ12" s="1">
        <v>3</v>
      </c>
      <c r="CA12" s="1">
        <v>6</v>
      </c>
      <c r="CB12" s="1">
        <v>5</v>
      </c>
      <c r="CC12" s="1">
        <v>3</v>
      </c>
      <c r="CD12" s="1">
        <v>6</v>
      </c>
      <c r="CE12" s="1">
        <v>6</v>
      </c>
      <c r="CF12" s="1">
        <v>8</v>
      </c>
      <c r="CG12" s="1">
        <v>2</v>
      </c>
      <c r="CH12" s="1">
        <v>1</v>
      </c>
      <c r="CI12" s="1">
        <v>4</v>
      </c>
      <c r="CJ12" s="1">
        <v>7</v>
      </c>
      <c r="CK12" s="1">
        <v>3</v>
      </c>
      <c r="CL12" s="1">
        <v>3</v>
      </c>
      <c r="CM12" s="1">
        <v>5</v>
      </c>
      <c r="CN12" s="1">
        <v>5</v>
      </c>
      <c r="CO12" s="1">
        <v>3</v>
      </c>
      <c r="CP12" s="1">
        <v>9</v>
      </c>
      <c r="CQ12" s="1">
        <v>4</v>
      </c>
      <c r="CR12" s="1">
        <v>3</v>
      </c>
      <c r="CS12" s="1">
        <v>2</v>
      </c>
      <c r="CT12" s="1">
        <v>9</v>
      </c>
      <c r="CU12" s="1">
        <v>4</v>
      </c>
      <c r="CV12" s="1">
        <v>3</v>
      </c>
      <c r="CW12" s="1">
        <v>7</v>
      </c>
      <c r="CX12" s="1">
        <v>8</v>
      </c>
      <c r="CY12" s="1">
        <v>2</v>
      </c>
      <c r="CZ12" s="1">
        <v>7</v>
      </c>
      <c r="DA12" s="1">
        <v>5</v>
      </c>
      <c r="DB12" s="1">
        <v>5</v>
      </c>
      <c r="DC12" s="1">
        <v>3</v>
      </c>
      <c r="DD12" s="1">
        <v>5</v>
      </c>
      <c r="DE12" s="1">
        <v>2</v>
      </c>
      <c r="DF12" s="1">
        <v>4</v>
      </c>
      <c r="DG12" s="1">
        <v>6</v>
      </c>
      <c r="DH12" s="1">
        <v>1</v>
      </c>
      <c r="DI12" s="1">
        <v>4</v>
      </c>
      <c r="DJ12" s="1">
        <v>6</v>
      </c>
      <c r="DK12" s="1">
        <v>9</v>
      </c>
      <c r="DL12" s="1">
        <v>2</v>
      </c>
      <c r="DM12" s="1">
        <v>7</v>
      </c>
      <c r="DN12" s="1">
        <v>6</v>
      </c>
      <c r="DO12" s="1">
        <v>2</v>
      </c>
      <c r="DP12" s="1">
        <v>8</v>
      </c>
      <c r="DQ12" s="1">
        <v>7</v>
      </c>
      <c r="DR12" s="1">
        <v>5</v>
      </c>
      <c r="DS12" s="1">
        <v>5</v>
      </c>
      <c r="DT12" s="1">
        <v>7</v>
      </c>
      <c r="DU12" s="1">
        <v>9</v>
      </c>
      <c r="DV12" s="1">
        <v>9</v>
      </c>
      <c r="DW12" s="1">
        <v>9</v>
      </c>
      <c r="DX12" s="1">
        <v>6</v>
      </c>
      <c r="DY12" s="1">
        <v>6</v>
      </c>
      <c r="DZ12" s="1">
        <v>3</v>
      </c>
      <c r="EA12" s="1">
        <v>1</v>
      </c>
      <c r="EB12" s="1">
        <v>7</v>
      </c>
      <c r="EC12" s="1">
        <v>4</v>
      </c>
      <c r="ED12" s="1">
        <v>1</v>
      </c>
      <c r="EE12" s="1">
        <v>8</v>
      </c>
      <c r="EF12" s="1">
        <v>6</v>
      </c>
      <c r="EG12" s="1">
        <v>6</v>
      </c>
      <c r="EH12" s="1">
        <v>2</v>
      </c>
      <c r="EI12" s="1">
        <v>1</v>
      </c>
      <c r="EJ12" s="1">
        <v>2</v>
      </c>
      <c r="EK12" s="1">
        <v>4</v>
      </c>
      <c r="EL12" s="1">
        <v>2</v>
      </c>
      <c r="EM12" s="1">
        <v>1</v>
      </c>
      <c r="EN12" s="1">
        <v>7</v>
      </c>
      <c r="EO12" s="1">
        <v>8</v>
      </c>
      <c r="EP12" s="1">
        <v>6</v>
      </c>
      <c r="EQ12" s="1">
        <v>4</v>
      </c>
      <c r="ER12" s="1">
        <v>6</v>
      </c>
      <c r="ES12" s="1">
        <v>3</v>
      </c>
      <c r="ET12" s="1">
        <v>8</v>
      </c>
      <c r="EU12" s="1">
        <v>2</v>
      </c>
      <c r="EV12" s="1">
        <v>5</v>
      </c>
      <c r="EW12" s="1">
        <v>1</v>
      </c>
      <c r="EX12" s="1">
        <v>6</v>
      </c>
      <c r="EY12" s="1">
        <v>2</v>
      </c>
      <c r="EZ12" s="1">
        <v>4</v>
      </c>
      <c r="FA12" s="1">
        <v>6</v>
      </c>
      <c r="FB12" s="1">
        <v>8</v>
      </c>
      <c r="FC12" s="1">
        <v>8</v>
      </c>
      <c r="FD12" s="1">
        <v>6</v>
      </c>
      <c r="FE12" s="1">
        <v>4</v>
      </c>
      <c r="FF12" s="1">
        <v>8</v>
      </c>
      <c r="FG12" s="1">
        <v>8</v>
      </c>
      <c r="FH12" s="1">
        <v>1</v>
      </c>
      <c r="FI12" s="1">
        <v>4</v>
      </c>
      <c r="FJ12" s="1">
        <v>4</v>
      </c>
      <c r="FK12" s="1">
        <v>7</v>
      </c>
      <c r="FL12" s="1">
        <v>7</v>
      </c>
      <c r="FM12" s="1">
        <v>8</v>
      </c>
      <c r="FN12" s="1">
        <v>5</v>
      </c>
      <c r="FO12" s="1">
        <v>7</v>
      </c>
      <c r="FP12" s="1">
        <v>8</v>
      </c>
      <c r="FQ12" s="1">
        <v>9</v>
      </c>
      <c r="FR12" s="1">
        <v>3</v>
      </c>
      <c r="FS12" s="1">
        <v>3</v>
      </c>
      <c r="FT12" s="1">
        <v>4</v>
      </c>
      <c r="FU12" s="1">
        <v>5</v>
      </c>
      <c r="FV12" s="1">
        <v>1</v>
      </c>
      <c r="FW12" s="1">
        <v>7</v>
      </c>
      <c r="FX12" s="1">
        <v>9</v>
      </c>
      <c r="FY12" s="1">
        <v>8</v>
      </c>
      <c r="FZ12" s="1">
        <v>5</v>
      </c>
      <c r="GA12" s="1">
        <v>4</v>
      </c>
      <c r="GB12" s="1">
        <v>7</v>
      </c>
      <c r="GC12" s="1">
        <v>5</v>
      </c>
      <c r="GD12" s="1">
        <v>7</v>
      </c>
      <c r="GE12" s="1">
        <v>1</v>
      </c>
      <c r="GF12" s="1">
        <v>1</v>
      </c>
      <c r="GG12" s="1">
        <v>3</v>
      </c>
      <c r="GH12" s="1">
        <v>2</v>
      </c>
      <c r="GI12" s="1">
        <v>2</v>
      </c>
      <c r="GJ12" s="1">
        <v>7</v>
      </c>
      <c r="GK12" s="1">
        <v>2</v>
      </c>
      <c r="GL12" s="1">
        <v>4</v>
      </c>
      <c r="GM12" s="1">
        <v>2</v>
      </c>
      <c r="GN12" s="1">
        <v>6</v>
      </c>
      <c r="GO12" s="1">
        <v>8</v>
      </c>
      <c r="GP12" s="1">
        <v>4</v>
      </c>
      <c r="GQ12" s="1">
        <v>5</v>
      </c>
      <c r="GR12" s="1">
        <v>4</v>
      </c>
      <c r="GS12" s="1">
        <v>3</v>
      </c>
      <c r="GT12" s="1">
        <v>5</v>
      </c>
      <c r="GU12" s="1">
        <v>9</v>
      </c>
      <c r="GV12" s="1">
        <v>8</v>
      </c>
      <c r="GW12" s="1">
        <v>8</v>
      </c>
      <c r="GX12" s="1">
        <v>8</v>
      </c>
      <c r="GY12" s="1">
        <v>8</v>
      </c>
      <c r="GZ12" s="1">
        <v>7</v>
      </c>
      <c r="HA12" s="1">
        <v>8</v>
      </c>
      <c r="HB12" s="1">
        <v>8</v>
      </c>
      <c r="HC12" s="1">
        <v>8</v>
      </c>
      <c r="HD12" s="1">
        <v>7</v>
      </c>
      <c r="HE12" s="1">
        <v>1</v>
      </c>
      <c r="HF12" s="1">
        <v>4</v>
      </c>
      <c r="HG12" s="1">
        <v>4</v>
      </c>
      <c r="HH12" s="1">
        <v>5</v>
      </c>
      <c r="HI12" s="1">
        <v>6</v>
      </c>
      <c r="HJ12" s="1">
        <v>4</v>
      </c>
      <c r="HK12" s="1">
        <v>2</v>
      </c>
      <c r="HL12" s="1">
        <v>6</v>
      </c>
      <c r="HM12" s="1">
        <v>8</v>
      </c>
      <c r="HN12" s="1">
        <v>8</v>
      </c>
      <c r="HO12" s="1">
        <v>7</v>
      </c>
      <c r="HP12" s="1">
        <v>6</v>
      </c>
      <c r="HQ12" s="1">
        <v>2</v>
      </c>
      <c r="HR12" s="1">
        <v>7</v>
      </c>
      <c r="HS12" s="1">
        <v>5</v>
      </c>
      <c r="HT12" s="1">
        <v>6</v>
      </c>
      <c r="HU12" s="1">
        <v>8</v>
      </c>
      <c r="HV12" s="1">
        <v>8</v>
      </c>
      <c r="HW12" s="1">
        <v>3</v>
      </c>
      <c r="HX12" s="1">
        <v>7</v>
      </c>
      <c r="HY12" s="1">
        <v>1</v>
      </c>
      <c r="HZ12" s="1">
        <v>1</v>
      </c>
      <c r="IA12" s="1">
        <v>7</v>
      </c>
      <c r="IB12" s="1">
        <v>9</v>
      </c>
      <c r="IC12" s="1">
        <v>7</v>
      </c>
      <c r="ID12" s="1">
        <v>5</v>
      </c>
      <c r="IE12" s="1">
        <v>8</v>
      </c>
      <c r="IF12" s="1">
        <v>2</v>
      </c>
      <c r="IG12" s="1">
        <v>9</v>
      </c>
      <c r="IH12" s="1">
        <v>6</v>
      </c>
      <c r="II12" s="1">
        <v>9</v>
      </c>
      <c r="IJ12" s="1">
        <v>2</v>
      </c>
      <c r="IK12" s="1">
        <v>3</v>
      </c>
      <c r="IL12" s="1">
        <v>8</v>
      </c>
      <c r="IM12" s="1">
        <v>1</v>
      </c>
      <c r="IN12" s="1">
        <v>7</v>
      </c>
      <c r="IO12" s="1">
        <v>7</v>
      </c>
      <c r="IP12" s="1">
        <v>1</v>
      </c>
      <c r="IQ12" s="1">
        <v>9</v>
      </c>
      <c r="IR12" s="1">
        <v>8</v>
      </c>
      <c r="IS12" s="1">
        <v>4</v>
      </c>
      <c r="IT12" s="1">
        <v>5</v>
      </c>
      <c r="IU12" s="1">
        <v>2</v>
      </c>
      <c r="IV12" s="1">
        <v>9</v>
      </c>
      <c r="IW12" s="1">
        <v>6</v>
      </c>
      <c r="IX12" s="1">
        <v>3</v>
      </c>
      <c r="IY12" s="1">
        <v>7</v>
      </c>
      <c r="IZ12" s="1">
        <v>9</v>
      </c>
      <c r="JA12" s="1">
        <v>3</v>
      </c>
      <c r="JB12" s="1">
        <v>2</v>
      </c>
      <c r="JC12" s="1">
        <v>7</v>
      </c>
      <c r="JD12" s="1">
        <v>7</v>
      </c>
      <c r="JE12" s="1">
        <v>4</v>
      </c>
      <c r="JF12" s="1">
        <v>9</v>
      </c>
      <c r="JG12" s="1">
        <v>8</v>
      </c>
      <c r="JH12" s="1">
        <v>1</v>
      </c>
      <c r="JI12" s="1">
        <v>1</v>
      </c>
      <c r="JJ12" s="1">
        <v>5</v>
      </c>
      <c r="JK12" s="1">
        <v>6</v>
      </c>
      <c r="JL12" s="1">
        <v>3</v>
      </c>
      <c r="JM12" s="1">
        <v>9</v>
      </c>
      <c r="JN12" s="1">
        <v>6</v>
      </c>
      <c r="JO12" s="1">
        <v>4</v>
      </c>
      <c r="JP12" s="1">
        <v>7</v>
      </c>
      <c r="JQ12" s="1">
        <v>8</v>
      </c>
      <c r="JR12" s="1">
        <v>9</v>
      </c>
      <c r="JS12" s="1">
        <v>6</v>
      </c>
      <c r="JT12" s="1">
        <v>6</v>
      </c>
      <c r="JU12" s="1">
        <v>8</v>
      </c>
      <c r="JV12" s="1">
        <v>5</v>
      </c>
      <c r="JW12" s="1">
        <v>3</v>
      </c>
      <c r="JX12" s="1">
        <v>3</v>
      </c>
      <c r="JY12" s="1">
        <v>6</v>
      </c>
      <c r="JZ12" s="1">
        <v>2</v>
      </c>
      <c r="KA12" s="1">
        <v>6</v>
      </c>
      <c r="KB12" s="1">
        <v>6</v>
      </c>
      <c r="KC12" s="1">
        <v>8</v>
      </c>
      <c r="KD12" s="1">
        <v>7</v>
      </c>
      <c r="KE12" s="1">
        <v>8</v>
      </c>
      <c r="KF12" s="1">
        <v>9</v>
      </c>
      <c r="KG12" s="1">
        <v>6</v>
      </c>
      <c r="KH12" s="1">
        <v>3</v>
      </c>
      <c r="KI12" s="1">
        <v>3</v>
      </c>
      <c r="KJ12" s="1">
        <v>1</v>
      </c>
      <c r="KK12" s="1">
        <v>5</v>
      </c>
      <c r="KL12" s="1">
        <v>4</v>
      </c>
      <c r="KM12" s="1">
        <v>9</v>
      </c>
      <c r="KN12" s="1">
        <v>9</v>
      </c>
      <c r="KO12" s="1">
        <v>5</v>
      </c>
      <c r="KP12" s="1">
        <v>4</v>
      </c>
      <c r="KQ12" s="1">
        <v>7</v>
      </c>
      <c r="KR12" s="1">
        <v>6</v>
      </c>
      <c r="KS12" s="1">
        <v>4</v>
      </c>
      <c r="KT12" s="1">
        <v>2</v>
      </c>
      <c r="KU12" s="1">
        <v>1</v>
      </c>
      <c r="KV12" s="1">
        <v>4</v>
      </c>
      <c r="KW12" s="1">
        <v>4</v>
      </c>
      <c r="KX12" s="1">
        <v>1</v>
      </c>
      <c r="KY12" s="1">
        <v>6</v>
      </c>
      <c r="KZ12" s="1">
        <v>4</v>
      </c>
      <c r="LA12" s="1">
        <v>1</v>
      </c>
      <c r="LB12" s="1">
        <v>1</v>
      </c>
      <c r="LC12" s="1">
        <v>1</v>
      </c>
      <c r="LD12" s="1">
        <v>8</v>
      </c>
      <c r="LE12" s="1">
        <v>8</v>
      </c>
      <c r="LF12" s="1">
        <v>2</v>
      </c>
      <c r="LG12" s="1">
        <v>7</v>
      </c>
      <c r="LH12" s="1">
        <v>8</v>
      </c>
      <c r="LI12" s="1">
        <v>8</v>
      </c>
      <c r="LJ12" s="1">
        <v>7</v>
      </c>
      <c r="LK12" s="1">
        <v>5</v>
      </c>
      <c r="LL12" s="1">
        <v>1</v>
      </c>
      <c r="LM12" s="1">
        <v>9</v>
      </c>
      <c r="LN12" s="1">
        <v>7</v>
      </c>
      <c r="LO12" s="1">
        <v>2</v>
      </c>
      <c r="LP12" s="1">
        <v>6</v>
      </c>
      <c r="LQ12" s="1">
        <v>2</v>
      </c>
      <c r="LR12" s="1">
        <v>1</v>
      </c>
      <c r="LS12" s="1">
        <v>7</v>
      </c>
      <c r="LT12" s="1">
        <v>2</v>
      </c>
      <c r="LU12" s="1">
        <v>2</v>
      </c>
      <c r="LV12" s="1">
        <v>5</v>
      </c>
      <c r="LW12" s="1">
        <v>5</v>
      </c>
      <c r="LX12" s="1">
        <v>7</v>
      </c>
      <c r="LY12" s="1">
        <v>1</v>
      </c>
      <c r="LZ12" s="1">
        <v>8</v>
      </c>
      <c r="MA12" s="1">
        <v>3</v>
      </c>
      <c r="MB12" s="1">
        <v>4</v>
      </c>
      <c r="MC12" s="1">
        <v>9</v>
      </c>
      <c r="MD12" s="1">
        <v>4</v>
      </c>
      <c r="ME12" s="1">
        <v>5</v>
      </c>
      <c r="MF12" s="1">
        <v>7</v>
      </c>
      <c r="MG12" s="1">
        <v>4</v>
      </c>
      <c r="MH12" s="1">
        <v>1</v>
      </c>
      <c r="MI12" s="1">
        <v>9</v>
      </c>
      <c r="MJ12" s="1">
        <v>4</v>
      </c>
      <c r="MK12" s="1">
        <v>9</v>
      </c>
      <c r="ML12" s="1">
        <v>6</v>
      </c>
      <c r="MM12" s="1">
        <v>1</v>
      </c>
      <c r="MN12" s="1">
        <v>3</v>
      </c>
      <c r="MO12" s="1">
        <v>2</v>
      </c>
      <c r="MP12" s="1">
        <v>9</v>
      </c>
      <c r="MQ12" s="1">
        <v>1</v>
      </c>
      <c r="MR12" s="1">
        <v>9</v>
      </c>
      <c r="MS12" s="1">
        <v>9</v>
      </c>
      <c r="MT12" s="1">
        <v>8</v>
      </c>
      <c r="MU12" s="1">
        <v>8</v>
      </c>
      <c r="MV12" s="1">
        <v>1</v>
      </c>
      <c r="MW12" s="1">
        <v>8</v>
      </c>
      <c r="MX12" s="1">
        <v>3</v>
      </c>
      <c r="MY12" s="1">
        <v>7</v>
      </c>
      <c r="MZ12" s="1">
        <v>1</v>
      </c>
      <c r="NA12" s="1">
        <v>1</v>
      </c>
      <c r="NB12" s="1">
        <v>5</v>
      </c>
      <c r="NC12" s="1">
        <v>5</v>
      </c>
      <c r="ND12" s="1">
        <v>8</v>
      </c>
      <c r="NE12" s="1">
        <v>7</v>
      </c>
      <c r="NF12" s="1">
        <v>8</v>
      </c>
      <c r="NG12" s="1">
        <v>6</v>
      </c>
      <c r="NH12" s="1">
        <v>6</v>
      </c>
      <c r="NI12" s="1">
        <v>2</v>
      </c>
      <c r="NJ12" s="1">
        <v>6</v>
      </c>
      <c r="NK12" s="1">
        <v>5</v>
      </c>
      <c r="NL12" s="1">
        <v>3</v>
      </c>
      <c r="NM12" s="1">
        <v>6</v>
      </c>
      <c r="NN12" s="1">
        <v>8</v>
      </c>
      <c r="NO12" s="1">
        <v>9</v>
      </c>
      <c r="NP12" s="1">
        <v>1</v>
      </c>
      <c r="NQ12" s="1">
        <v>3</v>
      </c>
      <c r="NR12" s="1">
        <v>3</v>
      </c>
      <c r="NS12" s="1">
        <v>8</v>
      </c>
      <c r="NT12" s="1">
        <v>1</v>
      </c>
      <c r="NU12" s="1">
        <v>5</v>
      </c>
      <c r="NV12" s="1">
        <v>3</v>
      </c>
      <c r="NW12" s="1">
        <v>2</v>
      </c>
      <c r="NX12" s="1">
        <v>8</v>
      </c>
      <c r="NY12" s="1">
        <v>3</v>
      </c>
      <c r="NZ12" s="1">
        <v>7</v>
      </c>
      <c r="OA12" s="1">
        <v>1</v>
      </c>
      <c r="OB12" s="1">
        <v>6</v>
      </c>
      <c r="OC12" s="1">
        <v>3</v>
      </c>
      <c r="OD12" s="1">
        <v>8</v>
      </c>
      <c r="OE12" s="1">
        <v>6</v>
      </c>
      <c r="OF12" s="1">
        <v>2</v>
      </c>
      <c r="OG12" s="1">
        <v>6</v>
      </c>
      <c r="OH12" s="1">
        <v>7</v>
      </c>
      <c r="OI12" s="1">
        <v>5</v>
      </c>
      <c r="OJ12" s="1">
        <v>3</v>
      </c>
      <c r="OK12" s="1">
        <v>4</v>
      </c>
      <c r="OL12" s="1">
        <v>4</v>
      </c>
      <c r="OM12" s="1">
        <v>6</v>
      </c>
      <c r="ON12" s="1">
        <v>1</v>
      </c>
      <c r="OO12" s="1">
        <v>4</v>
      </c>
      <c r="OP12" s="1">
        <v>4</v>
      </c>
      <c r="OQ12" s="1">
        <v>1</v>
      </c>
      <c r="OR12" s="1">
        <v>9</v>
      </c>
      <c r="OS12" s="1">
        <v>4</v>
      </c>
      <c r="OT12" s="1">
        <v>7</v>
      </c>
      <c r="OU12" s="1">
        <v>3</v>
      </c>
      <c r="OV12" s="1">
        <v>3</v>
      </c>
      <c r="OW12" s="1">
        <v>8</v>
      </c>
      <c r="OX12" s="1">
        <v>8</v>
      </c>
      <c r="OY12" s="1">
        <v>1</v>
      </c>
      <c r="OZ12" s="1">
        <v>2</v>
      </c>
      <c r="PA12" s="1">
        <v>8</v>
      </c>
      <c r="PB12" s="1">
        <v>1</v>
      </c>
      <c r="PC12" s="1">
        <v>8</v>
      </c>
      <c r="PD12" s="1">
        <v>8</v>
      </c>
      <c r="PE12" s="1">
        <v>2</v>
      </c>
      <c r="PF12" s="1">
        <v>4</v>
      </c>
      <c r="PG12" s="1">
        <v>6</v>
      </c>
      <c r="PH12" s="1">
        <v>9</v>
      </c>
      <c r="PI12" s="1">
        <v>8</v>
      </c>
      <c r="PJ12" s="1">
        <v>8</v>
      </c>
      <c r="PK12" s="1">
        <v>7</v>
      </c>
      <c r="PL12" s="1">
        <v>9</v>
      </c>
      <c r="PM12" s="1">
        <v>2</v>
      </c>
      <c r="PN12" s="1">
        <v>3</v>
      </c>
      <c r="PO12" s="1">
        <v>8</v>
      </c>
      <c r="PP12" s="1">
        <v>6</v>
      </c>
      <c r="PQ12" s="1">
        <v>9</v>
      </c>
      <c r="PR12" s="1">
        <v>4</v>
      </c>
      <c r="PS12" s="1">
        <v>8</v>
      </c>
      <c r="PT12" s="1">
        <v>3</v>
      </c>
      <c r="PU12" s="1">
        <v>3</v>
      </c>
      <c r="PV12" s="1">
        <v>8</v>
      </c>
      <c r="PW12" s="1">
        <v>5</v>
      </c>
      <c r="PX12" s="1">
        <v>3</v>
      </c>
      <c r="PY12" s="1">
        <v>1</v>
      </c>
      <c r="PZ12" s="1">
        <v>3</v>
      </c>
      <c r="QA12" s="1">
        <v>9</v>
      </c>
      <c r="QB12" s="1">
        <v>5</v>
      </c>
      <c r="QC12" s="1">
        <v>2</v>
      </c>
      <c r="QD12" s="1">
        <v>7</v>
      </c>
      <c r="QE12" s="1">
        <v>2</v>
      </c>
      <c r="QF12" s="1">
        <v>4</v>
      </c>
      <c r="QG12" s="1">
        <v>7</v>
      </c>
      <c r="QH12" s="1">
        <v>4</v>
      </c>
      <c r="QI12" s="1">
        <v>7</v>
      </c>
      <c r="QJ12" s="1">
        <v>7</v>
      </c>
      <c r="QK12" s="1">
        <v>1</v>
      </c>
      <c r="QL12" s="1">
        <v>6</v>
      </c>
      <c r="QM12" s="1">
        <v>9</v>
      </c>
      <c r="QN12" s="1">
        <v>2</v>
      </c>
      <c r="QO12" s="1">
        <v>3</v>
      </c>
      <c r="QP12" s="1">
        <v>5</v>
      </c>
      <c r="QQ12" s="1">
        <v>9</v>
      </c>
      <c r="QR12" s="1">
        <v>4</v>
      </c>
      <c r="QS12" s="1">
        <v>1</v>
      </c>
      <c r="QT12" s="1">
        <v>4</v>
      </c>
      <c r="QU12" s="1">
        <v>6</v>
      </c>
      <c r="QV12" s="1">
        <v>5</v>
      </c>
      <c r="QW12" s="1">
        <v>1</v>
      </c>
      <c r="QX12" s="1">
        <v>4</v>
      </c>
      <c r="QY12" s="1">
        <v>6</v>
      </c>
      <c r="QZ12" s="1">
        <v>4</v>
      </c>
      <c r="RA12" s="1">
        <v>9</v>
      </c>
      <c r="RB12" s="1">
        <v>5</v>
      </c>
      <c r="RC12" s="1">
        <v>8</v>
      </c>
      <c r="RD12" s="1">
        <v>9</v>
      </c>
      <c r="RE12" s="1">
        <v>5</v>
      </c>
      <c r="RF12" s="1">
        <v>6</v>
      </c>
      <c r="RG12" s="1">
        <v>1</v>
      </c>
      <c r="RH12" s="1">
        <v>7</v>
      </c>
      <c r="RI12" s="1">
        <v>4</v>
      </c>
      <c r="RJ12" s="1">
        <v>2</v>
      </c>
      <c r="RK12" s="1">
        <v>5</v>
      </c>
      <c r="RL12" s="1">
        <v>3</v>
      </c>
      <c r="RM12" s="1">
        <v>6</v>
      </c>
      <c r="RN12" s="1">
        <v>8</v>
      </c>
      <c r="RO12" s="1">
        <v>7</v>
      </c>
      <c r="RP12" s="1">
        <v>3</v>
      </c>
      <c r="RQ12" s="1">
        <v>8</v>
      </c>
      <c r="RR12" s="1">
        <v>2</v>
      </c>
      <c r="RS12" s="1">
        <v>9</v>
      </c>
      <c r="RT12" s="1">
        <v>4</v>
      </c>
      <c r="RU12" s="1">
        <v>1</v>
      </c>
      <c r="RV12" s="1">
        <v>8</v>
      </c>
      <c r="RW12" s="1">
        <v>7</v>
      </c>
      <c r="RX12" s="1">
        <v>5</v>
      </c>
      <c r="RY12" s="1">
        <v>5</v>
      </c>
      <c r="RZ12" s="1">
        <v>7</v>
      </c>
      <c r="SA12" s="1">
        <v>5</v>
      </c>
      <c r="SB12" s="1">
        <v>8</v>
      </c>
      <c r="SC12" s="1">
        <v>6</v>
      </c>
      <c r="SD12" s="1">
        <v>5</v>
      </c>
      <c r="SE12" s="1">
        <v>9</v>
      </c>
      <c r="SF12" s="1">
        <v>2</v>
      </c>
      <c r="SG12" s="1">
        <v>1</v>
      </c>
    </row>
    <row r="13" spans="1:501" x14ac:dyDescent="0.3">
      <c r="A13" s="3" t="s">
        <v>12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1111.6199999999999</v>
      </c>
      <c r="BA13" s="1">
        <v>2668.52</v>
      </c>
      <c r="BB13" s="1">
        <v>2534.0700000000002</v>
      </c>
      <c r="BC13" s="1">
        <v>1428.62</v>
      </c>
      <c r="BD13" s="1">
        <v>3723.19</v>
      </c>
      <c r="BE13" s="1">
        <v>3402.72</v>
      </c>
      <c r="BF13" s="1">
        <v>1012.33</v>
      </c>
      <c r="BG13" s="1">
        <v>1070.7</v>
      </c>
      <c r="BH13" s="1">
        <v>2122.36</v>
      </c>
      <c r="BI13" s="1">
        <v>3128.25</v>
      </c>
      <c r="BJ13" s="1">
        <v>319.56</v>
      </c>
      <c r="BK13" s="1">
        <v>2819.34</v>
      </c>
      <c r="BL13" s="1">
        <v>2645.71</v>
      </c>
      <c r="BM13" s="1">
        <v>1041.2</v>
      </c>
      <c r="BN13" s="1">
        <v>2773.21</v>
      </c>
      <c r="BO13" s="1">
        <v>3769.71</v>
      </c>
      <c r="BP13" s="1">
        <v>330.13</v>
      </c>
      <c r="BQ13" s="1">
        <v>1380.66</v>
      </c>
      <c r="BR13" s="1">
        <v>1836.98</v>
      </c>
      <c r="BS13" s="1">
        <v>3612.15</v>
      </c>
      <c r="BT13" s="1">
        <v>3854.71</v>
      </c>
      <c r="BU13" s="1">
        <v>1859.84</v>
      </c>
      <c r="BV13" s="1">
        <v>3037.61</v>
      </c>
      <c r="BW13" s="1">
        <v>2196.89</v>
      </c>
      <c r="BX13" s="1">
        <v>2220.46</v>
      </c>
      <c r="BY13" s="1">
        <v>1220.68</v>
      </c>
      <c r="BZ13" s="1">
        <v>985.28</v>
      </c>
      <c r="CA13" s="1">
        <v>1258.82</v>
      </c>
      <c r="CB13" s="1">
        <v>2291.86</v>
      </c>
      <c r="CC13" s="1">
        <v>262.25</v>
      </c>
      <c r="CD13" s="1">
        <v>3642.91</v>
      </c>
      <c r="CE13" s="1">
        <v>751.69</v>
      </c>
      <c r="CF13" s="1">
        <v>997.34</v>
      </c>
      <c r="CG13" s="1">
        <v>2145.36</v>
      </c>
      <c r="CH13" s="1">
        <v>2883.94</v>
      </c>
      <c r="CI13" s="1">
        <v>518.55999999999995</v>
      </c>
      <c r="CJ13" s="1">
        <v>1373.12</v>
      </c>
      <c r="CK13" s="1">
        <v>3879.4</v>
      </c>
      <c r="CL13" s="1">
        <v>1160.02</v>
      </c>
      <c r="CM13" s="1">
        <v>1355.24</v>
      </c>
      <c r="CN13" s="1">
        <v>3370.52</v>
      </c>
      <c r="CO13" s="1">
        <v>343.33</v>
      </c>
      <c r="CP13" s="1">
        <v>1938.76</v>
      </c>
      <c r="CQ13" s="1">
        <v>1611.52</v>
      </c>
      <c r="CR13" s="1">
        <v>1368.86</v>
      </c>
      <c r="CS13" s="1">
        <v>1249.94</v>
      </c>
      <c r="CT13" s="1">
        <v>501.79</v>
      </c>
      <c r="CU13" s="1">
        <v>1362.08</v>
      </c>
      <c r="CV13" s="1">
        <v>315.75</v>
      </c>
      <c r="CW13" s="1">
        <v>3156.71</v>
      </c>
      <c r="CX13" s="1">
        <v>1683.18</v>
      </c>
      <c r="CY13" s="1">
        <v>1859.03</v>
      </c>
      <c r="CZ13" s="1">
        <v>3590.34</v>
      </c>
      <c r="DA13" s="1">
        <v>2683.51</v>
      </c>
      <c r="DB13" s="1">
        <v>181.03</v>
      </c>
      <c r="DC13" s="1">
        <v>3781.22</v>
      </c>
      <c r="DD13" s="1">
        <v>1063.01</v>
      </c>
      <c r="DE13" s="1">
        <v>564.30999999999995</v>
      </c>
      <c r="DF13" s="1">
        <v>3107.29</v>
      </c>
      <c r="DG13" s="1">
        <v>2076.84</v>
      </c>
      <c r="DH13" s="1">
        <v>1820.02</v>
      </c>
      <c r="DI13" s="1">
        <v>1110.5899999999999</v>
      </c>
      <c r="DJ13" s="1">
        <v>2257.77</v>
      </c>
      <c r="DK13" s="1">
        <v>1206.3800000000001</v>
      </c>
      <c r="DL13" s="1">
        <v>3621.09</v>
      </c>
      <c r="DM13" s="1">
        <v>978.54</v>
      </c>
      <c r="DN13" s="1">
        <v>3554.77</v>
      </c>
      <c r="DO13" s="1">
        <v>2303.71</v>
      </c>
      <c r="DP13" s="1">
        <v>3339.68</v>
      </c>
      <c r="DQ13" s="1">
        <v>2894.46</v>
      </c>
      <c r="DR13" s="1">
        <v>2832.28</v>
      </c>
      <c r="DS13" s="1">
        <v>1398.73</v>
      </c>
      <c r="DT13" s="1">
        <v>1050.5</v>
      </c>
      <c r="DU13" s="1">
        <v>961.91</v>
      </c>
      <c r="DV13" s="1">
        <v>3450.19</v>
      </c>
      <c r="DW13" s="1">
        <v>3308.64</v>
      </c>
      <c r="DX13" s="1">
        <v>1846.21</v>
      </c>
      <c r="DY13" s="1">
        <v>659.76</v>
      </c>
      <c r="DZ13" s="1">
        <v>1621.67</v>
      </c>
      <c r="EA13" s="1">
        <v>2534.4699999999998</v>
      </c>
      <c r="EB13" s="1">
        <v>1899.45</v>
      </c>
      <c r="EC13" s="1">
        <v>3153.73</v>
      </c>
      <c r="ED13" s="1">
        <v>3990.85</v>
      </c>
      <c r="EE13" s="1">
        <v>885.86</v>
      </c>
      <c r="EF13" s="1">
        <v>1919.66</v>
      </c>
      <c r="EG13" s="1">
        <v>1809.29</v>
      </c>
      <c r="EH13" s="1">
        <v>1322.3</v>
      </c>
      <c r="EI13" s="1">
        <v>912.67</v>
      </c>
      <c r="EJ13" s="1">
        <v>402.91</v>
      </c>
      <c r="EK13" s="1">
        <v>3565.41</v>
      </c>
      <c r="EL13" s="1">
        <v>1766.42</v>
      </c>
      <c r="EM13" s="1">
        <v>2063.0500000000002</v>
      </c>
      <c r="EN13" s="1">
        <v>3680.23</v>
      </c>
      <c r="EO13" s="1">
        <v>3138.72</v>
      </c>
      <c r="EP13" s="1">
        <v>652.42999999999995</v>
      </c>
      <c r="EQ13" s="1">
        <v>2326.87</v>
      </c>
      <c r="ER13" s="1">
        <v>1852.67</v>
      </c>
      <c r="ES13" s="1">
        <v>3219.26</v>
      </c>
      <c r="ET13" s="1">
        <v>2938.3</v>
      </c>
      <c r="EU13" s="1">
        <v>2808.06</v>
      </c>
      <c r="EV13" s="1">
        <v>1461.1</v>
      </c>
      <c r="EW13" s="1">
        <v>3249.11</v>
      </c>
      <c r="EX13" s="1">
        <v>351.71</v>
      </c>
      <c r="EY13" s="1">
        <v>764.56</v>
      </c>
      <c r="EZ13" s="1">
        <v>1442.15</v>
      </c>
      <c r="FA13" s="1">
        <v>445.71</v>
      </c>
      <c r="FB13" s="1">
        <v>1054.73</v>
      </c>
      <c r="FC13" s="1">
        <v>3346.08</v>
      </c>
      <c r="FD13" s="1">
        <v>3800.77</v>
      </c>
      <c r="FE13" s="1">
        <v>1322.72</v>
      </c>
      <c r="FF13" s="1">
        <v>1168.3900000000001</v>
      </c>
      <c r="FG13" s="1">
        <v>1227.5899999999999</v>
      </c>
      <c r="FH13" s="1">
        <v>1219.22</v>
      </c>
      <c r="FI13" s="1">
        <v>288.33</v>
      </c>
      <c r="FJ13" s="1">
        <v>3718.63</v>
      </c>
      <c r="FK13" s="1">
        <v>972.74</v>
      </c>
      <c r="FL13" s="1">
        <v>1767.02</v>
      </c>
      <c r="FM13" s="1">
        <v>187.29</v>
      </c>
      <c r="FN13" s="1">
        <v>3453.13</v>
      </c>
      <c r="FO13" s="1">
        <v>2964.96</v>
      </c>
      <c r="FP13" s="1">
        <v>3795.01</v>
      </c>
      <c r="FQ13" s="1">
        <v>3159.22</v>
      </c>
      <c r="FR13" s="1">
        <v>1357.77</v>
      </c>
      <c r="FS13" s="1">
        <v>1104.31</v>
      </c>
      <c r="FT13" s="1">
        <v>2836.21</v>
      </c>
      <c r="FU13" s="1">
        <v>1551.83</v>
      </c>
      <c r="FV13" s="1">
        <v>2329.9299999999998</v>
      </c>
      <c r="FW13" s="1">
        <v>174.09</v>
      </c>
      <c r="FX13" s="1">
        <v>388.26</v>
      </c>
      <c r="FY13" s="1">
        <v>2211.17</v>
      </c>
      <c r="FZ13" s="1">
        <v>2329.38</v>
      </c>
      <c r="GA13" s="1">
        <v>3043.09</v>
      </c>
      <c r="GB13" s="1">
        <v>658.07</v>
      </c>
      <c r="GC13" s="1">
        <v>2125.75</v>
      </c>
      <c r="GD13" s="1">
        <v>898.62</v>
      </c>
      <c r="GE13" s="1">
        <v>508.81</v>
      </c>
      <c r="GF13" s="1">
        <v>1730.41</v>
      </c>
      <c r="GG13" s="1">
        <v>778.85</v>
      </c>
      <c r="GH13" s="1">
        <v>1003.86</v>
      </c>
      <c r="GI13" s="1">
        <v>1372.59</v>
      </c>
      <c r="GJ13" s="1">
        <v>1148.6500000000001</v>
      </c>
      <c r="GK13" s="1">
        <v>487.23</v>
      </c>
      <c r="GL13" s="1">
        <v>496.18</v>
      </c>
      <c r="GM13" s="1">
        <v>894.01</v>
      </c>
      <c r="GN13" s="1">
        <v>344.65</v>
      </c>
      <c r="GO13" s="1">
        <v>2561.86</v>
      </c>
      <c r="GP13" s="1">
        <v>1256.21</v>
      </c>
      <c r="GQ13" s="1">
        <v>1227.02</v>
      </c>
      <c r="GR13" s="1">
        <v>1428.19</v>
      </c>
      <c r="GS13" s="1">
        <v>2701.77</v>
      </c>
      <c r="GT13" s="1">
        <v>3501.94</v>
      </c>
      <c r="GU13" s="1">
        <v>3072.48</v>
      </c>
      <c r="GV13" s="1">
        <v>2950.99</v>
      </c>
      <c r="GW13" s="1">
        <v>2014.91</v>
      </c>
      <c r="GX13" s="1">
        <v>2821.15</v>
      </c>
      <c r="GY13" s="1">
        <v>2278.14</v>
      </c>
      <c r="GZ13" s="1">
        <v>982.56</v>
      </c>
      <c r="HA13" s="1">
        <v>953.07</v>
      </c>
      <c r="HB13" s="1">
        <v>1291.1099999999999</v>
      </c>
      <c r="HC13" s="1">
        <v>3656.59</v>
      </c>
      <c r="HD13" s="1">
        <v>2257.5500000000002</v>
      </c>
      <c r="HE13" s="1">
        <v>2975.54</v>
      </c>
      <c r="HF13" s="1">
        <v>1484.25</v>
      </c>
      <c r="HG13" s="1">
        <v>1719.71</v>
      </c>
      <c r="HH13" s="1">
        <v>633.42999999999995</v>
      </c>
      <c r="HI13" s="1">
        <v>809.49</v>
      </c>
      <c r="HJ13" s="1">
        <v>3335.32</v>
      </c>
      <c r="HK13" s="1">
        <v>2401.63</v>
      </c>
      <c r="HL13" s="1">
        <v>1449.5</v>
      </c>
      <c r="HM13" s="1">
        <v>3240.98</v>
      </c>
      <c r="HN13" s="1">
        <v>1099.0999999999999</v>
      </c>
      <c r="HO13" s="1">
        <v>3907.73</v>
      </c>
      <c r="HP13" s="1">
        <v>1477.55</v>
      </c>
      <c r="HQ13" s="1">
        <v>1448.65</v>
      </c>
      <c r="HR13" s="1">
        <v>1350.86</v>
      </c>
      <c r="HS13" s="1">
        <v>620.13</v>
      </c>
      <c r="HT13" s="1">
        <v>577.88</v>
      </c>
      <c r="HU13" s="1">
        <v>2645.2</v>
      </c>
      <c r="HV13" s="1">
        <v>3519.2</v>
      </c>
      <c r="HW13" s="1">
        <v>3193.5</v>
      </c>
      <c r="HX13" s="1">
        <v>693.26</v>
      </c>
      <c r="HY13" s="1">
        <v>2250.4899999999998</v>
      </c>
      <c r="HZ13" s="1">
        <v>556.53</v>
      </c>
      <c r="IA13" s="1">
        <v>324.38</v>
      </c>
      <c r="IB13" s="1">
        <v>2677.09</v>
      </c>
      <c r="IC13" s="1">
        <v>2210.34</v>
      </c>
      <c r="ID13" s="1">
        <v>465.79</v>
      </c>
      <c r="IE13" s="1">
        <v>284.52</v>
      </c>
      <c r="IF13" s="1">
        <v>3960.56</v>
      </c>
      <c r="IG13" s="1">
        <v>265.58</v>
      </c>
      <c r="IH13" s="1">
        <v>1861.43</v>
      </c>
      <c r="II13" s="1">
        <v>2092.7800000000002</v>
      </c>
      <c r="IJ13" s="1">
        <v>601.53</v>
      </c>
      <c r="IK13" s="1">
        <v>800.89</v>
      </c>
      <c r="IL13" s="1">
        <v>1504.45</v>
      </c>
      <c r="IM13" s="1">
        <v>3082.45</v>
      </c>
      <c r="IN13" s="1">
        <v>2102.27</v>
      </c>
      <c r="IO13" s="1">
        <v>2605.92</v>
      </c>
      <c r="IP13" s="1">
        <v>3942.92</v>
      </c>
      <c r="IQ13" s="1">
        <v>3106.82</v>
      </c>
      <c r="IR13" s="1">
        <v>1822.29</v>
      </c>
      <c r="IS13" s="1">
        <v>1868.8</v>
      </c>
      <c r="IT13" s="1">
        <v>2532.27</v>
      </c>
      <c r="IU13" s="1">
        <v>2711.66</v>
      </c>
      <c r="IV13" s="1">
        <v>2077.7399999999998</v>
      </c>
      <c r="IW13" s="1">
        <v>2632.72</v>
      </c>
      <c r="IX13" s="1">
        <v>240.6</v>
      </c>
      <c r="IY13" s="1">
        <v>1804.05</v>
      </c>
      <c r="IZ13" s="1">
        <v>1223.9100000000001</v>
      </c>
      <c r="JA13" s="1">
        <v>647.32000000000005</v>
      </c>
      <c r="JB13" s="1">
        <v>533.25</v>
      </c>
      <c r="JC13" s="1">
        <v>2472.29</v>
      </c>
      <c r="JD13" s="1">
        <v>2165.86</v>
      </c>
      <c r="JE13" s="1">
        <v>1126.3</v>
      </c>
      <c r="JF13" s="1">
        <v>1963.16</v>
      </c>
      <c r="JG13" s="1">
        <v>2045.09</v>
      </c>
      <c r="JH13" s="1">
        <v>900.78</v>
      </c>
      <c r="JI13" s="1">
        <v>2660.56</v>
      </c>
      <c r="JJ13" s="1">
        <v>3156.54</v>
      </c>
      <c r="JK13" s="1">
        <v>3197.13</v>
      </c>
      <c r="JL13" s="1">
        <v>2469.5100000000002</v>
      </c>
      <c r="JM13" s="1">
        <v>2119.81</v>
      </c>
      <c r="JN13" s="1">
        <v>384.88</v>
      </c>
      <c r="JO13" s="1">
        <v>1258.1500000000001</v>
      </c>
      <c r="JP13" s="1">
        <v>509.1</v>
      </c>
      <c r="JQ13" s="1">
        <v>3860.72</v>
      </c>
      <c r="JR13" s="1">
        <v>670.06</v>
      </c>
      <c r="JS13" s="1">
        <v>734.34</v>
      </c>
      <c r="JT13" s="1">
        <v>3574.87</v>
      </c>
      <c r="JU13" s="1">
        <v>3784.12</v>
      </c>
      <c r="JV13" s="1">
        <v>3098.44</v>
      </c>
      <c r="JW13" s="1">
        <v>170.81</v>
      </c>
      <c r="JX13" s="1">
        <v>155.18</v>
      </c>
      <c r="JY13" s="1">
        <v>1605.69</v>
      </c>
      <c r="JZ13" s="1">
        <v>702.07</v>
      </c>
      <c r="KA13" s="1">
        <v>220.79</v>
      </c>
      <c r="KB13" s="1">
        <v>1936.66</v>
      </c>
      <c r="KC13" s="1">
        <v>3780.79</v>
      </c>
      <c r="KD13" s="1">
        <v>1396.71</v>
      </c>
      <c r="KE13" s="1">
        <v>2695.39</v>
      </c>
      <c r="KF13" s="1">
        <v>2661.11</v>
      </c>
      <c r="KG13" s="1">
        <v>1116.6600000000001</v>
      </c>
      <c r="KH13" s="1">
        <v>2654.14</v>
      </c>
      <c r="KI13" s="1">
        <v>967.49</v>
      </c>
      <c r="KJ13" s="1">
        <v>619.73</v>
      </c>
      <c r="KK13" s="1">
        <v>2850.33</v>
      </c>
      <c r="KL13" s="1">
        <v>586.75</v>
      </c>
      <c r="KM13" s="1">
        <v>3988.1</v>
      </c>
      <c r="KN13" s="1">
        <v>856.29</v>
      </c>
      <c r="KO13" s="1">
        <v>2437.4499999999998</v>
      </c>
      <c r="KP13" s="1">
        <v>1733.79</v>
      </c>
      <c r="KQ13" s="1">
        <v>636.59</v>
      </c>
      <c r="KR13" s="1">
        <v>257.2</v>
      </c>
      <c r="KS13" s="1">
        <v>2547.52</v>
      </c>
      <c r="KT13" s="1">
        <v>3256.02</v>
      </c>
      <c r="KU13" s="1">
        <v>3391.76</v>
      </c>
      <c r="KV13" s="1">
        <v>2008.45</v>
      </c>
      <c r="KW13" s="1">
        <v>3143.2</v>
      </c>
      <c r="KX13" s="1">
        <v>2740.46</v>
      </c>
      <c r="KY13" s="1">
        <v>2938.38</v>
      </c>
      <c r="KZ13" s="1">
        <v>2046.51</v>
      </c>
      <c r="LA13" s="1">
        <v>2588.64</v>
      </c>
      <c r="LB13" s="1">
        <v>3251.27</v>
      </c>
      <c r="LC13" s="1">
        <v>1681.85</v>
      </c>
      <c r="LD13" s="1">
        <v>3253.02</v>
      </c>
      <c r="LE13" s="1">
        <v>2429.2600000000002</v>
      </c>
      <c r="LF13" s="1">
        <v>788.72</v>
      </c>
      <c r="LG13" s="1">
        <v>245.03</v>
      </c>
      <c r="LH13" s="1">
        <v>1546.6</v>
      </c>
      <c r="LI13" s="1">
        <v>2254.7800000000002</v>
      </c>
      <c r="LJ13" s="1">
        <v>3383.31</v>
      </c>
      <c r="LK13" s="1">
        <v>640.82000000000005</v>
      </c>
      <c r="LL13" s="1">
        <v>3230.79</v>
      </c>
      <c r="LM13" s="1">
        <v>3472.58</v>
      </c>
      <c r="LN13" s="1">
        <v>730.15</v>
      </c>
      <c r="LO13" s="1">
        <v>3428.64</v>
      </c>
      <c r="LP13" s="1">
        <v>3967.1</v>
      </c>
      <c r="LQ13" s="1">
        <v>2948.33</v>
      </c>
      <c r="LR13" s="1">
        <v>3171.36</v>
      </c>
      <c r="LS13" s="1">
        <v>3978.5</v>
      </c>
      <c r="LT13" s="1">
        <v>2481.1</v>
      </c>
      <c r="LU13" s="1">
        <v>1335.36</v>
      </c>
      <c r="LV13" s="1">
        <v>3374.49</v>
      </c>
      <c r="LW13" s="1">
        <v>2515.77</v>
      </c>
      <c r="LX13" s="1">
        <v>2387.6</v>
      </c>
      <c r="LY13" s="1">
        <v>1126.5</v>
      </c>
      <c r="LZ13" s="1">
        <v>3061.89</v>
      </c>
      <c r="MA13" s="1">
        <v>464.42</v>
      </c>
      <c r="MB13" s="1">
        <v>3708.51</v>
      </c>
      <c r="MC13" s="1">
        <v>1404.42</v>
      </c>
      <c r="MD13" s="1">
        <v>641.92999999999995</v>
      </c>
      <c r="ME13" s="1">
        <v>1853.11</v>
      </c>
      <c r="MF13" s="1">
        <v>313.51</v>
      </c>
      <c r="MG13" s="1">
        <v>2785.81</v>
      </c>
      <c r="MH13" s="1">
        <v>3625.42</v>
      </c>
      <c r="MI13" s="1">
        <v>3373.46</v>
      </c>
      <c r="MJ13" s="1">
        <v>640.37</v>
      </c>
      <c r="MK13" s="1">
        <v>636.14</v>
      </c>
      <c r="ML13" s="1">
        <v>3281.72</v>
      </c>
      <c r="MM13" s="1">
        <v>3708.38</v>
      </c>
      <c r="MN13" s="1">
        <v>1923.58</v>
      </c>
      <c r="MO13" s="1">
        <v>2071.04</v>
      </c>
      <c r="MP13" s="1">
        <v>1375.31</v>
      </c>
      <c r="MQ13" s="1">
        <v>3592.92</v>
      </c>
      <c r="MR13" s="1">
        <v>2632.88</v>
      </c>
      <c r="MS13" s="1">
        <v>1259.77</v>
      </c>
      <c r="MT13" s="1">
        <v>1300.31</v>
      </c>
      <c r="MU13" s="1">
        <v>3581.12</v>
      </c>
      <c r="MV13" s="1">
        <v>202.49</v>
      </c>
      <c r="MW13" s="1">
        <v>1392.5</v>
      </c>
      <c r="MX13" s="1">
        <v>2284.27</v>
      </c>
      <c r="MY13" s="1">
        <v>720.64</v>
      </c>
      <c r="MZ13" s="1">
        <v>504.58</v>
      </c>
      <c r="NA13" s="1">
        <v>3288.81</v>
      </c>
      <c r="NB13" s="1">
        <v>3593.46</v>
      </c>
      <c r="NC13" s="1">
        <v>3320.88</v>
      </c>
      <c r="ND13" s="1">
        <v>3610.33</v>
      </c>
      <c r="NE13" s="1">
        <v>2279.48</v>
      </c>
      <c r="NF13" s="1">
        <v>3277.19</v>
      </c>
      <c r="NG13" s="1">
        <v>1628.56</v>
      </c>
      <c r="NH13" s="1">
        <v>2715.13</v>
      </c>
      <c r="NI13" s="1">
        <v>3957.02</v>
      </c>
      <c r="NJ13" s="1">
        <v>1019.05</v>
      </c>
      <c r="NK13" s="1">
        <v>1651.11</v>
      </c>
      <c r="NL13" s="1">
        <v>1998.18</v>
      </c>
      <c r="NM13" s="1">
        <v>681.36</v>
      </c>
      <c r="NN13" s="1">
        <v>462</v>
      </c>
      <c r="NO13" s="1">
        <v>3344.43</v>
      </c>
      <c r="NP13" s="1">
        <v>3910.66</v>
      </c>
      <c r="NQ13" s="1">
        <v>1708.19</v>
      </c>
      <c r="NR13" s="1">
        <v>487.45</v>
      </c>
      <c r="NS13" s="1">
        <v>403.38</v>
      </c>
      <c r="NT13" s="1">
        <v>3581.58</v>
      </c>
      <c r="NU13" s="1">
        <v>1935.68</v>
      </c>
      <c r="NV13" s="1">
        <v>1382.11</v>
      </c>
      <c r="NW13" s="1">
        <v>1984.38</v>
      </c>
      <c r="NX13" s="1">
        <v>1375.47</v>
      </c>
      <c r="NY13" s="1">
        <v>2032.79</v>
      </c>
      <c r="NZ13" s="1">
        <v>3459.29</v>
      </c>
      <c r="OA13" s="1">
        <v>2430.36</v>
      </c>
      <c r="OB13" s="1">
        <v>2824.42</v>
      </c>
      <c r="OC13" s="1">
        <v>1553.98</v>
      </c>
      <c r="OD13" s="1">
        <v>2993.25</v>
      </c>
      <c r="OE13" s="1">
        <v>2716.48</v>
      </c>
      <c r="OF13" s="1">
        <v>610.30999999999995</v>
      </c>
      <c r="OG13" s="1">
        <v>2354.67</v>
      </c>
      <c r="OH13" s="1">
        <v>1138.46</v>
      </c>
      <c r="OI13" s="1">
        <v>3245.77</v>
      </c>
      <c r="OJ13" s="1">
        <v>1789.86</v>
      </c>
      <c r="OK13" s="1">
        <v>3979.53</v>
      </c>
      <c r="OL13" s="1">
        <v>506.13</v>
      </c>
      <c r="OM13" s="1">
        <v>3154.34</v>
      </c>
      <c r="ON13" s="1">
        <v>2743.75</v>
      </c>
      <c r="OO13" s="1">
        <v>3104.87</v>
      </c>
      <c r="OP13" s="1">
        <v>1333.99</v>
      </c>
      <c r="OQ13" s="1">
        <v>2044.41</v>
      </c>
      <c r="OR13" s="1">
        <v>3216.56</v>
      </c>
      <c r="OS13" s="1">
        <v>1045.28</v>
      </c>
      <c r="OT13" s="1">
        <v>1020.23</v>
      </c>
      <c r="OU13" s="1">
        <v>2271.5500000000002</v>
      </c>
      <c r="OV13" s="1">
        <v>2165.7199999999998</v>
      </c>
      <c r="OW13" s="1">
        <v>1236.71</v>
      </c>
      <c r="OX13" s="1">
        <v>1297.5899999999999</v>
      </c>
      <c r="OY13" s="1">
        <v>1219.7</v>
      </c>
      <c r="OZ13" s="1">
        <v>3120.32</v>
      </c>
      <c r="PA13" s="1">
        <v>2659.82</v>
      </c>
      <c r="PB13" s="1">
        <v>3354.81</v>
      </c>
      <c r="PC13" s="1">
        <v>3905.57</v>
      </c>
      <c r="PD13" s="1">
        <v>1975.53</v>
      </c>
      <c r="PE13" s="1">
        <v>406.77</v>
      </c>
      <c r="PF13" s="1">
        <v>335.16</v>
      </c>
      <c r="PG13" s="1">
        <v>1288.31</v>
      </c>
      <c r="PH13" s="1">
        <v>3740.3</v>
      </c>
      <c r="PI13" s="1">
        <v>2164.37</v>
      </c>
      <c r="PJ13" s="1">
        <v>1196.3800000000001</v>
      </c>
      <c r="PK13" s="1">
        <v>1686.79</v>
      </c>
      <c r="PL13" s="1">
        <v>2454.59</v>
      </c>
      <c r="PM13" s="1">
        <v>2663.86</v>
      </c>
      <c r="PN13" s="1">
        <v>742.59</v>
      </c>
      <c r="PO13" s="1">
        <v>3911.57</v>
      </c>
      <c r="PP13" s="1">
        <v>2247.37</v>
      </c>
      <c r="PQ13" s="1">
        <v>672.4</v>
      </c>
      <c r="PR13" s="1">
        <v>3590.5</v>
      </c>
      <c r="PS13" s="1">
        <v>437.36</v>
      </c>
      <c r="PT13" s="1">
        <v>3644.78</v>
      </c>
      <c r="PU13" s="1">
        <v>3986.78</v>
      </c>
      <c r="PV13" s="1">
        <v>2846.66</v>
      </c>
      <c r="PW13" s="1">
        <v>3116.22</v>
      </c>
      <c r="PX13" s="1">
        <v>1448.62</v>
      </c>
      <c r="PY13" s="1">
        <v>3775.07</v>
      </c>
      <c r="PZ13" s="1">
        <v>2189.4</v>
      </c>
      <c r="QA13" s="1">
        <v>2969.7</v>
      </c>
      <c r="QB13" s="1">
        <v>3707.81</v>
      </c>
      <c r="QC13" s="1">
        <v>3904.44</v>
      </c>
      <c r="QD13" s="1">
        <v>3357.84</v>
      </c>
      <c r="QE13" s="1">
        <v>1316.62</v>
      </c>
      <c r="QF13" s="1">
        <v>3871.21</v>
      </c>
      <c r="QG13" s="1">
        <v>2568.2600000000002</v>
      </c>
      <c r="QH13" s="1">
        <v>3732.97</v>
      </c>
      <c r="QI13" s="1">
        <v>2753</v>
      </c>
      <c r="QJ13" s="1">
        <v>1332.87</v>
      </c>
      <c r="QK13" s="1">
        <v>1574.59</v>
      </c>
      <c r="QL13" s="1">
        <v>2269.3200000000002</v>
      </c>
      <c r="QM13" s="1">
        <v>3191.56</v>
      </c>
      <c r="QN13" s="1">
        <v>1374.23</v>
      </c>
      <c r="QO13" s="1">
        <v>2381.96</v>
      </c>
      <c r="QP13" s="1">
        <v>1480.66</v>
      </c>
      <c r="QQ13" s="1">
        <v>3290.71</v>
      </c>
      <c r="QR13" s="1">
        <v>1946.9</v>
      </c>
      <c r="QS13" s="1">
        <v>445.38</v>
      </c>
      <c r="QT13" s="1">
        <v>789.3</v>
      </c>
      <c r="QU13" s="1">
        <v>385.25</v>
      </c>
      <c r="QV13" s="1">
        <v>2072.3200000000002</v>
      </c>
      <c r="QW13" s="1">
        <v>559.4</v>
      </c>
      <c r="QX13" s="1">
        <v>589.44000000000005</v>
      </c>
      <c r="QY13" s="1">
        <v>3773.04</v>
      </c>
      <c r="QZ13" s="1">
        <v>3509.72</v>
      </c>
      <c r="RA13" s="1">
        <v>1890.53</v>
      </c>
      <c r="RB13" s="1">
        <v>3945.35</v>
      </c>
      <c r="RC13" s="1">
        <v>150.72</v>
      </c>
      <c r="RD13" s="1">
        <v>2513.8200000000002</v>
      </c>
      <c r="RE13" s="1">
        <v>2523.25</v>
      </c>
      <c r="RF13" s="1">
        <v>1911.16</v>
      </c>
      <c r="RG13" s="1">
        <v>1678.25</v>
      </c>
      <c r="RH13" s="1">
        <v>1903.23</v>
      </c>
      <c r="RI13" s="1">
        <v>1747.6</v>
      </c>
      <c r="RJ13" s="1">
        <v>2962.4</v>
      </c>
      <c r="RK13" s="1">
        <v>671.12</v>
      </c>
      <c r="RL13" s="1">
        <v>910.91</v>
      </c>
      <c r="RM13" s="1">
        <v>845</v>
      </c>
      <c r="RN13" s="1">
        <v>1160.51</v>
      </c>
      <c r="RO13" s="1">
        <v>2172.2399999999998</v>
      </c>
      <c r="RP13" s="1">
        <v>578.15</v>
      </c>
      <c r="RQ13" s="1">
        <v>3492.45</v>
      </c>
      <c r="RR13" s="1">
        <v>1294.8399999999999</v>
      </c>
      <c r="RS13" s="1">
        <v>775.77</v>
      </c>
      <c r="RT13" s="1">
        <v>2751.14</v>
      </c>
      <c r="RU13" s="1">
        <v>296.63</v>
      </c>
      <c r="RV13" s="1">
        <v>2536.88</v>
      </c>
      <c r="RW13" s="1">
        <v>2838.06</v>
      </c>
      <c r="RX13" s="1">
        <v>977.43</v>
      </c>
      <c r="RY13" s="1">
        <v>311.56</v>
      </c>
      <c r="RZ13" s="1">
        <v>1550.03</v>
      </c>
      <c r="SA13" s="1">
        <v>529.59</v>
      </c>
      <c r="SB13" s="1">
        <v>598.44000000000005</v>
      </c>
      <c r="SC13" s="1">
        <v>1128.9100000000001</v>
      </c>
      <c r="SD13" s="1">
        <v>1287.55</v>
      </c>
      <c r="SE13" s="1">
        <v>2190.39</v>
      </c>
      <c r="SF13" s="1">
        <v>2761.81</v>
      </c>
      <c r="SG13" s="1">
        <v>2432.17</v>
      </c>
    </row>
    <row r="14" spans="1:501" x14ac:dyDescent="0.3">
      <c r="A14" s="3" t="s">
        <v>13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15</v>
      </c>
      <c r="BA14" s="1">
        <v>5</v>
      </c>
      <c r="BB14" s="1">
        <v>10</v>
      </c>
      <c r="BC14" s="1">
        <v>10</v>
      </c>
      <c r="BD14" s="1">
        <v>5</v>
      </c>
      <c r="BE14" s="1">
        <v>15</v>
      </c>
      <c r="BF14" s="1">
        <v>20</v>
      </c>
      <c r="BG14" s="1">
        <v>5</v>
      </c>
      <c r="BH14" s="1">
        <v>0</v>
      </c>
      <c r="BI14" s="1">
        <v>15</v>
      </c>
      <c r="BJ14" s="1">
        <v>10</v>
      </c>
      <c r="BK14" s="1">
        <v>5</v>
      </c>
      <c r="BL14" s="1">
        <v>10</v>
      </c>
      <c r="BM14" s="1">
        <v>15</v>
      </c>
      <c r="BN14" s="1">
        <v>10</v>
      </c>
      <c r="BO14" s="1">
        <v>5</v>
      </c>
      <c r="BP14" s="1">
        <v>15</v>
      </c>
      <c r="BQ14" s="1">
        <v>0</v>
      </c>
      <c r="BR14" s="1">
        <v>5</v>
      </c>
      <c r="BS14" s="1">
        <v>20</v>
      </c>
      <c r="BT14" s="1">
        <v>5</v>
      </c>
      <c r="BU14" s="1">
        <v>15</v>
      </c>
      <c r="BV14" s="1">
        <v>5</v>
      </c>
      <c r="BW14" s="1">
        <v>0</v>
      </c>
      <c r="BX14" s="1">
        <v>0</v>
      </c>
      <c r="BY14" s="1">
        <v>20</v>
      </c>
      <c r="BZ14" s="1">
        <v>10</v>
      </c>
      <c r="CA14" s="1">
        <v>15</v>
      </c>
      <c r="CB14" s="1">
        <v>15</v>
      </c>
      <c r="CC14" s="1">
        <v>10</v>
      </c>
      <c r="CD14" s="1">
        <v>0</v>
      </c>
      <c r="CE14" s="1">
        <v>0</v>
      </c>
      <c r="CF14" s="1">
        <v>5</v>
      </c>
      <c r="CG14" s="1">
        <v>20</v>
      </c>
      <c r="CH14" s="1">
        <v>20</v>
      </c>
      <c r="CI14" s="1">
        <v>20</v>
      </c>
      <c r="CJ14" s="1">
        <v>5</v>
      </c>
      <c r="CK14" s="1">
        <v>20</v>
      </c>
      <c r="CL14" s="1">
        <v>10</v>
      </c>
      <c r="CM14" s="1">
        <v>5</v>
      </c>
      <c r="CN14" s="1">
        <v>10</v>
      </c>
      <c r="CO14" s="1">
        <v>5</v>
      </c>
      <c r="CP14" s="1">
        <v>20</v>
      </c>
      <c r="CQ14" s="1">
        <v>10</v>
      </c>
      <c r="CR14" s="1">
        <v>10</v>
      </c>
      <c r="CS14" s="1">
        <v>10</v>
      </c>
      <c r="CT14" s="1">
        <v>5</v>
      </c>
      <c r="CU14" s="1">
        <v>15</v>
      </c>
      <c r="CV14" s="1">
        <v>20</v>
      </c>
      <c r="CW14" s="1">
        <v>10</v>
      </c>
      <c r="CX14" s="1">
        <v>15</v>
      </c>
      <c r="CY14" s="1">
        <v>20</v>
      </c>
      <c r="CZ14" s="1">
        <v>20</v>
      </c>
      <c r="DA14" s="1">
        <v>10</v>
      </c>
      <c r="DB14" s="1">
        <v>10</v>
      </c>
      <c r="DC14" s="1">
        <v>5</v>
      </c>
      <c r="DD14" s="1">
        <v>15</v>
      </c>
      <c r="DE14" s="1">
        <v>15</v>
      </c>
      <c r="DF14" s="1">
        <v>10</v>
      </c>
      <c r="DG14" s="1">
        <v>20</v>
      </c>
      <c r="DH14" s="1">
        <v>10</v>
      </c>
      <c r="DI14" s="1">
        <v>20</v>
      </c>
      <c r="DJ14" s="1">
        <v>20</v>
      </c>
      <c r="DK14" s="1">
        <v>10</v>
      </c>
      <c r="DL14" s="1">
        <v>0</v>
      </c>
      <c r="DM14" s="1">
        <v>15</v>
      </c>
      <c r="DN14" s="1">
        <v>20</v>
      </c>
      <c r="DO14" s="1">
        <v>20</v>
      </c>
      <c r="DP14" s="1">
        <v>0</v>
      </c>
      <c r="DQ14" s="1">
        <v>5</v>
      </c>
      <c r="DR14" s="1">
        <v>0</v>
      </c>
      <c r="DS14" s="1">
        <v>0</v>
      </c>
      <c r="DT14" s="1">
        <v>20</v>
      </c>
      <c r="DU14" s="1">
        <v>15</v>
      </c>
      <c r="DV14" s="1">
        <v>0</v>
      </c>
      <c r="DW14" s="1">
        <v>5</v>
      </c>
      <c r="DX14" s="1">
        <v>10</v>
      </c>
      <c r="DY14" s="1">
        <v>0</v>
      </c>
      <c r="DZ14" s="1">
        <v>0</v>
      </c>
      <c r="EA14" s="1">
        <v>5</v>
      </c>
      <c r="EB14" s="1">
        <v>15</v>
      </c>
      <c r="EC14" s="1">
        <v>0</v>
      </c>
      <c r="ED14" s="1">
        <v>0</v>
      </c>
      <c r="EE14" s="1">
        <v>15</v>
      </c>
      <c r="EF14" s="1">
        <v>5</v>
      </c>
      <c r="EG14" s="1">
        <v>0</v>
      </c>
      <c r="EH14" s="1">
        <v>15</v>
      </c>
      <c r="EI14" s="1">
        <v>0</v>
      </c>
      <c r="EJ14" s="1">
        <v>10</v>
      </c>
      <c r="EK14" s="1">
        <v>20</v>
      </c>
      <c r="EL14" s="1">
        <v>10</v>
      </c>
      <c r="EM14" s="1">
        <v>0</v>
      </c>
      <c r="EN14" s="1">
        <v>5</v>
      </c>
      <c r="EO14" s="1">
        <v>20</v>
      </c>
      <c r="EP14" s="1">
        <v>10</v>
      </c>
      <c r="EQ14" s="1">
        <v>15</v>
      </c>
      <c r="ER14" s="1">
        <v>5</v>
      </c>
      <c r="ES14" s="1">
        <v>10</v>
      </c>
      <c r="ET14" s="1">
        <v>15</v>
      </c>
      <c r="EU14" s="1">
        <v>0</v>
      </c>
      <c r="EV14" s="1">
        <v>15</v>
      </c>
      <c r="EW14" s="1">
        <v>10</v>
      </c>
      <c r="EX14" s="1">
        <v>10</v>
      </c>
      <c r="EY14" s="1">
        <v>0</v>
      </c>
      <c r="EZ14" s="1">
        <v>15</v>
      </c>
      <c r="FA14" s="1">
        <v>15</v>
      </c>
      <c r="FB14" s="1">
        <v>0</v>
      </c>
      <c r="FC14" s="1">
        <v>15</v>
      </c>
      <c r="FD14" s="1">
        <v>0</v>
      </c>
      <c r="FE14" s="1">
        <v>5</v>
      </c>
      <c r="FF14" s="1">
        <v>10</v>
      </c>
      <c r="FG14" s="1">
        <v>5</v>
      </c>
      <c r="FH14" s="1">
        <v>20</v>
      </c>
      <c r="FI14" s="1">
        <v>20</v>
      </c>
      <c r="FJ14" s="1">
        <v>20</v>
      </c>
      <c r="FK14" s="1">
        <v>0</v>
      </c>
      <c r="FL14" s="1">
        <v>15</v>
      </c>
      <c r="FM14" s="1">
        <v>5</v>
      </c>
      <c r="FN14" s="1">
        <v>5</v>
      </c>
      <c r="FO14" s="1">
        <v>5</v>
      </c>
      <c r="FP14" s="1">
        <v>5</v>
      </c>
      <c r="FQ14" s="1">
        <v>20</v>
      </c>
      <c r="FR14" s="1">
        <v>5</v>
      </c>
      <c r="FS14" s="1">
        <v>15</v>
      </c>
      <c r="FT14" s="1">
        <v>20</v>
      </c>
      <c r="FU14" s="1">
        <v>5</v>
      </c>
      <c r="FV14" s="1">
        <v>0</v>
      </c>
      <c r="FW14" s="1">
        <v>10</v>
      </c>
      <c r="FX14" s="1">
        <v>10</v>
      </c>
      <c r="FY14" s="1">
        <v>10</v>
      </c>
      <c r="FZ14" s="1">
        <v>20</v>
      </c>
      <c r="GA14" s="1">
        <v>5</v>
      </c>
      <c r="GB14" s="1">
        <v>20</v>
      </c>
      <c r="GC14" s="1">
        <v>15</v>
      </c>
      <c r="GD14" s="1">
        <v>0</v>
      </c>
      <c r="GE14" s="1">
        <v>0</v>
      </c>
      <c r="GF14" s="1">
        <v>10</v>
      </c>
      <c r="GG14" s="1">
        <v>10</v>
      </c>
      <c r="GH14" s="1">
        <v>10</v>
      </c>
      <c r="GI14" s="1">
        <v>5</v>
      </c>
      <c r="GJ14" s="1">
        <v>15</v>
      </c>
      <c r="GK14" s="1">
        <v>15</v>
      </c>
      <c r="GL14" s="1">
        <v>15</v>
      </c>
      <c r="GM14" s="1">
        <v>15</v>
      </c>
      <c r="GN14" s="1">
        <v>10</v>
      </c>
      <c r="GO14" s="1">
        <v>0</v>
      </c>
      <c r="GP14" s="1">
        <v>10</v>
      </c>
      <c r="GQ14" s="1">
        <v>15</v>
      </c>
      <c r="GR14" s="1">
        <v>10</v>
      </c>
      <c r="GS14" s="1">
        <v>15</v>
      </c>
      <c r="GT14" s="1">
        <v>20</v>
      </c>
      <c r="GU14" s="1">
        <v>0</v>
      </c>
      <c r="GV14" s="1">
        <v>20</v>
      </c>
      <c r="GW14" s="1">
        <v>5</v>
      </c>
      <c r="GX14" s="1">
        <v>10</v>
      </c>
      <c r="GY14" s="1">
        <v>5</v>
      </c>
      <c r="GZ14" s="1">
        <v>10</v>
      </c>
      <c r="HA14" s="1">
        <v>20</v>
      </c>
      <c r="HB14" s="1">
        <v>15</v>
      </c>
      <c r="HC14" s="1">
        <v>15</v>
      </c>
      <c r="HD14" s="1">
        <v>10</v>
      </c>
      <c r="HE14" s="1">
        <v>15</v>
      </c>
      <c r="HF14" s="1">
        <v>20</v>
      </c>
      <c r="HG14" s="1">
        <v>15</v>
      </c>
      <c r="HH14" s="1">
        <v>20</v>
      </c>
      <c r="HI14" s="1">
        <v>5</v>
      </c>
      <c r="HJ14" s="1">
        <v>20</v>
      </c>
      <c r="HK14" s="1">
        <v>0</v>
      </c>
      <c r="HL14" s="1">
        <v>0</v>
      </c>
      <c r="HM14" s="1">
        <v>0</v>
      </c>
      <c r="HN14" s="1">
        <v>10</v>
      </c>
      <c r="HO14" s="1">
        <v>10</v>
      </c>
      <c r="HP14" s="1">
        <v>10</v>
      </c>
      <c r="HQ14" s="1">
        <v>20</v>
      </c>
      <c r="HR14" s="1">
        <v>10</v>
      </c>
      <c r="HS14" s="1">
        <v>5</v>
      </c>
      <c r="HT14" s="1">
        <v>0</v>
      </c>
      <c r="HU14" s="1">
        <v>20</v>
      </c>
      <c r="HV14" s="1">
        <v>0</v>
      </c>
      <c r="HW14" s="1">
        <v>10</v>
      </c>
      <c r="HX14" s="1">
        <v>20</v>
      </c>
      <c r="HY14" s="1">
        <v>15</v>
      </c>
      <c r="HZ14" s="1">
        <v>5</v>
      </c>
      <c r="IA14" s="1">
        <v>10</v>
      </c>
      <c r="IB14" s="1">
        <v>10</v>
      </c>
      <c r="IC14" s="1">
        <v>5</v>
      </c>
      <c r="ID14" s="1">
        <v>5</v>
      </c>
      <c r="IE14" s="1">
        <v>15</v>
      </c>
      <c r="IF14" s="1">
        <v>10</v>
      </c>
      <c r="IG14" s="1">
        <v>10</v>
      </c>
      <c r="IH14" s="1">
        <v>0</v>
      </c>
      <c r="II14" s="1">
        <v>20</v>
      </c>
      <c r="IJ14" s="1">
        <v>20</v>
      </c>
      <c r="IK14" s="1">
        <v>0</v>
      </c>
      <c r="IL14" s="1">
        <v>20</v>
      </c>
      <c r="IM14" s="1">
        <v>5</v>
      </c>
      <c r="IN14" s="1">
        <v>20</v>
      </c>
      <c r="IO14" s="1">
        <v>20</v>
      </c>
      <c r="IP14" s="1">
        <v>0</v>
      </c>
      <c r="IQ14" s="1">
        <v>15</v>
      </c>
      <c r="IR14" s="1">
        <v>20</v>
      </c>
      <c r="IS14" s="1">
        <v>20</v>
      </c>
      <c r="IT14" s="1">
        <v>15</v>
      </c>
      <c r="IU14" s="1">
        <v>0</v>
      </c>
      <c r="IV14" s="1">
        <v>15</v>
      </c>
      <c r="IW14" s="1">
        <v>0</v>
      </c>
      <c r="IX14" s="1">
        <v>5</v>
      </c>
      <c r="IY14" s="1">
        <v>0</v>
      </c>
      <c r="IZ14" s="1">
        <v>5</v>
      </c>
      <c r="JA14" s="1">
        <v>5</v>
      </c>
      <c r="JB14" s="1">
        <v>0</v>
      </c>
      <c r="JC14" s="1">
        <v>10</v>
      </c>
      <c r="JD14" s="1">
        <v>0</v>
      </c>
      <c r="JE14" s="1">
        <v>20</v>
      </c>
      <c r="JF14" s="1">
        <v>20</v>
      </c>
      <c r="JG14" s="1">
        <v>10</v>
      </c>
      <c r="JH14" s="1">
        <v>5</v>
      </c>
      <c r="JI14" s="1">
        <v>10</v>
      </c>
      <c r="JJ14" s="1">
        <v>20</v>
      </c>
      <c r="JK14" s="1">
        <v>10</v>
      </c>
      <c r="JL14" s="1">
        <v>0</v>
      </c>
      <c r="JM14" s="1">
        <v>10</v>
      </c>
      <c r="JN14" s="1">
        <v>5</v>
      </c>
      <c r="JO14" s="1">
        <v>0</v>
      </c>
      <c r="JP14" s="1">
        <v>15</v>
      </c>
      <c r="JQ14" s="1">
        <v>20</v>
      </c>
      <c r="JR14" s="1">
        <v>20</v>
      </c>
      <c r="JS14" s="1">
        <v>10</v>
      </c>
      <c r="JT14" s="1">
        <v>0</v>
      </c>
      <c r="JU14" s="1">
        <v>15</v>
      </c>
      <c r="JV14" s="1">
        <v>0</v>
      </c>
      <c r="JW14" s="1">
        <v>20</v>
      </c>
      <c r="JX14" s="1">
        <v>0</v>
      </c>
      <c r="JY14" s="1">
        <v>15</v>
      </c>
      <c r="JZ14" s="1">
        <v>10</v>
      </c>
      <c r="KA14" s="1">
        <v>5</v>
      </c>
      <c r="KB14" s="1">
        <v>0</v>
      </c>
      <c r="KC14" s="1">
        <v>5</v>
      </c>
      <c r="KD14" s="1">
        <v>20</v>
      </c>
      <c r="KE14" s="1">
        <v>10</v>
      </c>
      <c r="KF14" s="1">
        <v>10</v>
      </c>
      <c r="KG14" s="1">
        <v>0</v>
      </c>
      <c r="KH14" s="1">
        <v>10</v>
      </c>
      <c r="KI14" s="1">
        <v>0</v>
      </c>
      <c r="KJ14" s="1">
        <v>0</v>
      </c>
      <c r="KK14" s="1">
        <v>5</v>
      </c>
      <c r="KL14" s="1">
        <v>10</v>
      </c>
      <c r="KM14" s="1">
        <v>0</v>
      </c>
      <c r="KN14" s="1">
        <v>5</v>
      </c>
      <c r="KO14" s="1">
        <v>15</v>
      </c>
      <c r="KP14" s="1">
        <v>5</v>
      </c>
      <c r="KQ14" s="1">
        <v>5</v>
      </c>
      <c r="KR14" s="1">
        <v>0</v>
      </c>
      <c r="KS14" s="1">
        <v>20</v>
      </c>
      <c r="KT14" s="1">
        <v>20</v>
      </c>
      <c r="KU14" s="1">
        <v>20</v>
      </c>
      <c r="KV14" s="1">
        <v>5</v>
      </c>
      <c r="KW14" s="1">
        <v>0</v>
      </c>
      <c r="KX14" s="1">
        <v>10</v>
      </c>
      <c r="KY14" s="1">
        <v>5</v>
      </c>
      <c r="KZ14" s="1">
        <v>5</v>
      </c>
      <c r="LA14" s="1">
        <v>0</v>
      </c>
      <c r="LB14" s="1">
        <v>15</v>
      </c>
      <c r="LC14" s="1">
        <v>5</v>
      </c>
      <c r="LD14" s="1">
        <v>15</v>
      </c>
      <c r="LE14" s="1">
        <v>15</v>
      </c>
      <c r="LF14" s="1">
        <v>20</v>
      </c>
      <c r="LG14" s="1">
        <v>0</v>
      </c>
      <c r="LH14" s="1">
        <v>15</v>
      </c>
      <c r="LI14" s="1">
        <v>0</v>
      </c>
      <c r="LJ14" s="1">
        <v>20</v>
      </c>
      <c r="LK14" s="1">
        <v>0</v>
      </c>
      <c r="LL14" s="1">
        <v>5</v>
      </c>
      <c r="LM14" s="1">
        <v>15</v>
      </c>
      <c r="LN14" s="1">
        <v>0</v>
      </c>
      <c r="LO14" s="1">
        <v>10</v>
      </c>
      <c r="LP14" s="1">
        <v>0</v>
      </c>
      <c r="LQ14" s="1">
        <v>15</v>
      </c>
      <c r="LR14" s="1">
        <v>20</v>
      </c>
      <c r="LS14" s="1">
        <v>20</v>
      </c>
      <c r="LT14" s="1">
        <v>15</v>
      </c>
      <c r="LU14" s="1">
        <v>5</v>
      </c>
      <c r="LV14" s="1">
        <v>5</v>
      </c>
      <c r="LW14" s="1">
        <v>20</v>
      </c>
      <c r="LX14" s="1">
        <v>20</v>
      </c>
      <c r="LY14" s="1">
        <v>15</v>
      </c>
      <c r="LZ14" s="1">
        <v>5</v>
      </c>
      <c r="MA14" s="1">
        <v>20</v>
      </c>
      <c r="MB14" s="1">
        <v>5</v>
      </c>
      <c r="MC14" s="1">
        <v>20</v>
      </c>
      <c r="MD14" s="1">
        <v>0</v>
      </c>
      <c r="ME14" s="1">
        <v>10</v>
      </c>
      <c r="MF14" s="1">
        <v>0</v>
      </c>
      <c r="MG14" s="1">
        <v>20</v>
      </c>
      <c r="MH14" s="1">
        <v>10</v>
      </c>
      <c r="MI14" s="1">
        <v>10</v>
      </c>
      <c r="MJ14" s="1">
        <v>20</v>
      </c>
      <c r="MK14" s="1">
        <v>20</v>
      </c>
      <c r="ML14" s="1">
        <v>5</v>
      </c>
      <c r="MM14" s="1">
        <v>20</v>
      </c>
      <c r="MN14" s="1">
        <v>15</v>
      </c>
      <c r="MO14" s="1">
        <v>20</v>
      </c>
      <c r="MP14" s="1">
        <v>15</v>
      </c>
      <c r="MQ14" s="1">
        <v>20</v>
      </c>
      <c r="MR14" s="1">
        <v>5</v>
      </c>
      <c r="MS14" s="1">
        <v>15</v>
      </c>
      <c r="MT14" s="1">
        <v>0</v>
      </c>
      <c r="MU14" s="1">
        <v>15</v>
      </c>
      <c r="MV14" s="1">
        <v>5</v>
      </c>
      <c r="MW14" s="1">
        <v>15</v>
      </c>
      <c r="MX14" s="1">
        <v>20</v>
      </c>
      <c r="MY14" s="1">
        <v>20</v>
      </c>
      <c r="MZ14" s="1">
        <v>5</v>
      </c>
      <c r="NA14" s="1">
        <v>10</v>
      </c>
      <c r="NB14" s="1">
        <v>20</v>
      </c>
      <c r="NC14" s="1">
        <v>0</v>
      </c>
      <c r="ND14" s="1">
        <v>5</v>
      </c>
      <c r="NE14" s="1">
        <v>15</v>
      </c>
      <c r="NF14" s="1">
        <v>15</v>
      </c>
      <c r="NG14" s="1">
        <v>0</v>
      </c>
      <c r="NH14" s="1">
        <v>20</v>
      </c>
      <c r="NI14" s="1">
        <v>5</v>
      </c>
      <c r="NJ14" s="1">
        <v>0</v>
      </c>
      <c r="NK14" s="1">
        <v>20</v>
      </c>
      <c r="NL14" s="1">
        <v>5</v>
      </c>
      <c r="NM14" s="1">
        <v>15</v>
      </c>
      <c r="NN14" s="1">
        <v>5</v>
      </c>
      <c r="NO14" s="1">
        <v>10</v>
      </c>
      <c r="NP14" s="1">
        <v>5</v>
      </c>
      <c r="NQ14" s="1">
        <v>10</v>
      </c>
      <c r="NR14" s="1">
        <v>5</v>
      </c>
      <c r="NS14" s="1">
        <v>10</v>
      </c>
      <c r="NT14" s="1">
        <v>15</v>
      </c>
      <c r="NU14" s="1">
        <v>20</v>
      </c>
      <c r="NV14" s="1">
        <v>10</v>
      </c>
      <c r="NW14" s="1">
        <v>10</v>
      </c>
      <c r="NX14" s="1">
        <v>15</v>
      </c>
      <c r="NY14" s="1">
        <v>10</v>
      </c>
      <c r="NZ14" s="1">
        <v>0</v>
      </c>
      <c r="OA14" s="1">
        <v>15</v>
      </c>
      <c r="OB14" s="1">
        <v>0</v>
      </c>
      <c r="OC14" s="1">
        <v>15</v>
      </c>
      <c r="OD14" s="1">
        <v>10</v>
      </c>
      <c r="OE14" s="1">
        <v>0</v>
      </c>
      <c r="OF14" s="1">
        <v>10</v>
      </c>
      <c r="OG14" s="1">
        <v>15</v>
      </c>
      <c r="OH14" s="1">
        <v>10</v>
      </c>
      <c r="OI14" s="1">
        <v>0</v>
      </c>
      <c r="OJ14" s="1">
        <v>0</v>
      </c>
      <c r="OK14" s="1">
        <v>10</v>
      </c>
      <c r="OL14" s="1">
        <v>5</v>
      </c>
      <c r="OM14" s="1">
        <v>15</v>
      </c>
      <c r="ON14" s="1">
        <v>15</v>
      </c>
      <c r="OO14" s="1">
        <v>10</v>
      </c>
      <c r="OP14" s="1">
        <v>5</v>
      </c>
      <c r="OQ14" s="1">
        <v>0</v>
      </c>
      <c r="OR14" s="1">
        <v>20</v>
      </c>
      <c r="OS14" s="1">
        <v>20</v>
      </c>
      <c r="OT14" s="1">
        <v>10</v>
      </c>
      <c r="OU14" s="1">
        <v>5</v>
      </c>
      <c r="OV14" s="1">
        <v>5</v>
      </c>
      <c r="OW14" s="1">
        <v>15</v>
      </c>
      <c r="OX14" s="1">
        <v>0</v>
      </c>
      <c r="OY14" s="1">
        <v>5</v>
      </c>
      <c r="OZ14" s="1">
        <v>20</v>
      </c>
      <c r="PA14" s="1">
        <v>0</v>
      </c>
      <c r="PB14" s="1">
        <v>0</v>
      </c>
      <c r="PC14" s="1">
        <v>10</v>
      </c>
      <c r="PD14" s="1">
        <v>5</v>
      </c>
      <c r="PE14" s="1">
        <v>10</v>
      </c>
      <c r="PF14" s="1">
        <v>5</v>
      </c>
      <c r="PG14" s="1">
        <v>15</v>
      </c>
      <c r="PH14" s="1">
        <v>10</v>
      </c>
      <c r="PI14" s="1">
        <v>10</v>
      </c>
      <c r="PJ14" s="1">
        <v>20</v>
      </c>
      <c r="PK14" s="1">
        <v>10</v>
      </c>
      <c r="PL14" s="1">
        <v>5</v>
      </c>
      <c r="PM14" s="1">
        <v>20</v>
      </c>
      <c r="PN14" s="1">
        <v>10</v>
      </c>
      <c r="PO14" s="1">
        <v>10</v>
      </c>
      <c r="PP14" s="1">
        <v>15</v>
      </c>
      <c r="PQ14" s="1">
        <v>10</v>
      </c>
      <c r="PR14" s="1">
        <v>0</v>
      </c>
      <c r="PS14" s="1">
        <v>20</v>
      </c>
      <c r="PT14" s="1">
        <v>0</v>
      </c>
      <c r="PU14" s="1">
        <v>20</v>
      </c>
      <c r="PV14" s="1">
        <v>15</v>
      </c>
      <c r="PW14" s="1">
        <v>10</v>
      </c>
      <c r="PX14" s="1">
        <v>10</v>
      </c>
      <c r="PY14" s="1">
        <v>10</v>
      </c>
      <c r="PZ14" s="1">
        <v>20</v>
      </c>
      <c r="QA14" s="1">
        <v>10</v>
      </c>
      <c r="QB14" s="1">
        <v>0</v>
      </c>
      <c r="QC14" s="1">
        <v>10</v>
      </c>
      <c r="QD14" s="1">
        <v>15</v>
      </c>
      <c r="QE14" s="1">
        <v>0</v>
      </c>
      <c r="QF14" s="1">
        <v>10</v>
      </c>
      <c r="QG14" s="1">
        <v>10</v>
      </c>
      <c r="QH14" s="1">
        <v>5</v>
      </c>
      <c r="QI14" s="1">
        <v>20</v>
      </c>
      <c r="QJ14" s="1">
        <v>0</v>
      </c>
      <c r="QK14" s="1">
        <v>5</v>
      </c>
      <c r="QL14" s="1">
        <v>15</v>
      </c>
      <c r="QM14" s="1">
        <v>20</v>
      </c>
      <c r="QN14" s="1">
        <v>0</v>
      </c>
      <c r="QO14" s="1">
        <v>10</v>
      </c>
      <c r="QP14" s="1">
        <v>0</v>
      </c>
      <c r="QQ14" s="1">
        <v>10</v>
      </c>
      <c r="QR14" s="1">
        <v>20</v>
      </c>
      <c r="QS14" s="1">
        <v>10</v>
      </c>
      <c r="QT14" s="1">
        <v>15</v>
      </c>
      <c r="QU14" s="1">
        <v>10</v>
      </c>
      <c r="QV14" s="1">
        <v>15</v>
      </c>
      <c r="QW14" s="1">
        <v>20</v>
      </c>
      <c r="QX14" s="1">
        <v>20</v>
      </c>
      <c r="QY14" s="1">
        <v>0</v>
      </c>
      <c r="QZ14" s="1">
        <v>15</v>
      </c>
      <c r="RA14" s="1">
        <v>15</v>
      </c>
      <c r="RB14" s="1">
        <v>5</v>
      </c>
      <c r="RC14" s="1">
        <v>5</v>
      </c>
      <c r="RD14" s="1">
        <v>5</v>
      </c>
      <c r="RE14" s="1">
        <v>10</v>
      </c>
      <c r="RF14" s="1">
        <v>5</v>
      </c>
      <c r="RG14" s="1">
        <v>15</v>
      </c>
      <c r="RH14" s="1">
        <v>10</v>
      </c>
      <c r="RI14" s="1">
        <v>20</v>
      </c>
      <c r="RJ14" s="1">
        <v>0</v>
      </c>
      <c r="RK14" s="1">
        <v>5</v>
      </c>
      <c r="RL14" s="1">
        <v>20</v>
      </c>
      <c r="RM14" s="1">
        <v>15</v>
      </c>
      <c r="RN14" s="1">
        <v>0</v>
      </c>
      <c r="RO14" s="1">
        <v>20</v>
      </c>
      <c r="RP14" s="1">
        <v>0</v>
      </c>
      <c r="RQ14" s="1">
        <v>5</v>
      </c>
      <c r="RR14" s="1">
        <v>15</v>
      </c>
      <c r="RS14" s="1">
        <v>0</v>
      </c>
      <c r="RT14" s="1">
        <v>20</v>
      </c>
      <c r="RU14" s="1">
        <v>5</v>
      </c>
      <c r="RV14" s="1">
        <v>5</v>
      </c>
      <c r="RW14" s="1">
        <v>20</v>
      </c>
      <c r="RX14" s="1">
        <v>20</v>
      </c>
      <c r="RY14" s="1">
        <v>0</v>
      </c>
      <c r="RZ14" s="1">
        <v>10</v>
      </c>
      <c r="SA14" s="1">
        <v>5</v>
      </c>
      <c r="SB14" s="1">
        <v>0</v>
      </c>
      <c r="SC14" s="1">
        <v>20</v>
      </c>
      <c r="SD14" s="1">
        <v>0</v>
      </c>
      <c r="SE14" s="1">
        <v>20</v>
      </c>
      <c r="SF14" s="1">
        <v>15</v>
      </c>
      <c r="SG14" s="1">
        <v>20</v>
      </c>
    </row>
    <row r="15" spans="1:501" x14ac:dyDescent="0.3">
      <c r="A15" s="3" t="s">
        <v>14</v>
      </c>
      <c r="B15" s="1">
        <v>19907.09</v>
      </c>
      <c r="C15" s="1">
        <v>21590.720000000001</v>
      </c>
      <c r="D15" s="1">
        <v>17719.13</v>
      </c>
      <c r="E15" s="1">
        <v>857.47</v>
      </c>
      <c r="F15" s="1">
        <v>19664.23</v>
      </c>
      <c r="G15" s="1">
        <v>8611.7800000000007</v>
      </c>
      <c r="H15" s="1">
        <v>13636.89</v>
      </c>
      <c r="I15" s="1">
        <v>8318.99</v>
      </c>
      <c r="J15" s="1">
        <v>4666.67</v>
      </c>
      <c r="K15" s="1">
        <v>7122.64</v>
      </c>
      <c r="L15" s="1">
        <v>19231.5</v>
      </c>
      <c r="M15" s="1">
        <v>1552.39</v>
      </c>
      <c r="N15" s="1">
        <v>25287.200000000001</v>
      </c>
      <c r="O15" s="1">
        <v>7305.04</v>
      </c>
      <c r="P15" s="1">
        <v>5715.28</v>
      </c>
      <c r="Q15" s="1">
        <v>4525.42</v>
      </c>
      <c r="R15" s="1">
        <v>433.35</v>
      </c>
      <c r="S15" s="1">
        <v>1840.94</v>
      </c>
      <c r="T15" s="1">
        <v>1683.51</v>
      </c>
      <c r="U15" s="1">
        <v>7522.69</v>
      </c>
      <c r="V15" s="1">
        <v>6730.5</v>
      </c>
      <c r="W15" s="1">
        <v>3812.82</v>
      </c>
      <c r="X15" s="1">
        <v>4482.78</v>
      </c>
      <c r="Y15" s="1">
        <v>3606.31</v>
      </c>
      <c r="Z15" s="1">
        <v>17207.96</v>
      </c>
      <c r="AA15" s="1">
        <v>3798.68</v>
      </c>
      <c r="AB15" s="1">
        <v>10257.58</v>
      </c>
      <c r="AC15" s="1">
        <v>15391.82</v>
      </c>
      <c r="AD15" s="1">
        <v>1936.65</v>
      </c>
      <c r="AE15" s="1">
        <v>314.44</v>
      </c>
      <c r="AF15" s="1">
        <v>9182.6</v>
      </c>
      <c r="AG15" s="1">
        <v>2852.81</v>
      </c>
      <c r="AH15" s="1">
        <v>18833.810000000001</v>
      </c>
      <c r="AI15" s="1">
        <v>9177.5400000000009</v>
      </c>
      <c r="AJ15" s="1">
        <v>24369.86</v>
      </c>
      <c r="AK15" s="1">
        <v>11639.5</v>
      </c>
      <c r="AL15" s="1">
        <v>3242.5</v>
      </c>
      <c r="AM15" s="1">
        <v>3849.78</v>
      </c>
      <c r="AN15" s="1">
        <v>14098.05</v>
      </c>
      <c r="AO15" s="1">
        <v>16649.55</v>
      </c>
      <c r="AP15" s="1">
        <v>25270.400000000001</v>
      </c>
      <c r="AQ15" s="1">
        <v>3877.34</v>
      </c>
      <c r="AR15" s="1">
        <v>3979.49</v>
      </c>
      <c r="AS15" s="1">
        <v>686.43</v>
      </c>
      <c r="AT15" s="1">
        <v>2764.92</v>
      </c>
      <c r="AU15" s="1">
        <v>3202.49</v>
      </c>
      <c r="AV15" s="1">
        <v>1415.94</v>
      </c>
      <c r="AW15" s="1">
        <v>11715.78</v>
      </c>
      <c r="AX15" s="1">
        <v>19165.14</v>
      </c>
      <c r="AY15" s="1">
        <v>6482.11</v>
      </c>
      <c r="AZ15" s="1">
        <v>4724.3900000000003</v>
      </c>
      <c r="BA15" s="1">
        <v>7605.28</v>
      </c>
      <c r="BB15" s="1">
        <v>11403.31</v>
      </c>
      <c r="BC15" s="1">
        <v>10286.06</v>
      </c>
      <c r="BD15" s="1">
        <v>7074.06</v>
      </c>
      <c r="BE15" s="1">
        <v>17353.87</v>
      </c>
      <c r="BF15" s="1">
        <v>7288.78</v>
      </c>
      <c r="BG15" s="1">
        <v>8137.32</v>
      </c>
      <c r="BH15" s="1">
        <v>16978.88</v>
      </c>
      <c r="BI15" s="1">
        <v>21272.1</v>
      </c>
      <c r="BJ15" s="1">
        <v>2013.23</v>
      </c>
      <c r="BK15" s="1">
        <v>21426.98</v>
      </c>
      <c r="BL15" s="1">
        <v>14286.83</v>
      </c>
      <c r="BM15" s="1">
        <v>1770.04</v>
      </c>
      <c r="BN15" s="1">
        <v>4991.78</v>
      </c>
      <c r="BO15" s="1">
        <v>28649.8</v>
      </c>
      <c r="BP15" s="1">
        <v>280.61</v>
      </c>
      <c r="BQ15" s="1">
        <v>8283.9599999999991</v>
      </c>
      <c r="BR15" s="1">
        <v>10470.790000000001</v>
      </c>
      <c r="BS15" s="1">
        <v>11558.88</v>
      </c>
      <c r="BT15" s="1">
        <v>10985.92</v>
      </c>
      <c r="BU15" s="1">
        <v>4742.59</v>
      </c>
      <c r="BV15" s="1">
        <v>2885.73</v>
      </c>
      <c r="BW15" s="1">
        <v>6590.67</v>
      </c>
      <c r="BX15" s="1">
        <v>8881.84</v>
      </c>
      <c r="BY15" s="1">
        <v>4882.72</v>
      </c>
      <c r="BZ15" s="1">
        <v>2660.26</v>
      </c>
      <c r="CA15" s="1">
        <v>6419.98</v>
      </c>
      <c r="CB15" s="1">
        <v>9740.4</v>
      </c>
      <c r="CC15" s="1">
        <v>708.07</v>
      </c>
      <c r="CD15" s="1">
        <v>21857.46</v>
      </c>
      <c r="CE15" s="1">
        <v>4510.1400000000003</v>
      </c>
      <c r="CF15" s="1">
        <v>7579.78</v>
      </c>
      <c r="CG15" s="1">
        <v>3432.58</v>
      </c>
      <c r="CH15" s="1">
        <v>2307.15</v>
      </c>
      <c r="CI15" s="1">
        <v>1659.39</v>
      </c>
      <c r="CJ15" s="1">
        <v>9131.25</v>
      </c>
      <c r="CK15" s="1">
        <v>9310.56</v>
      </c>
      <c r="CL15" s="1">
        <v>3132.05</v>
      </c>
      <c r="CM15" s="1">
        <v>6437.39</v>
      </c>
      <c r="CN15" s="1">
        <v>15167.34</v>
      </c>
      <c r="CO15" s="1">
        <v>978.49</v>
      </c>
      <c r="CP15" s="1">
        <v>13959.07</v>
      </c>
      <c r="CQ15" s="1">
        <v>5801.47</v>
      </c>
      <c r="CR15" s="1">
        <v>3695.92</v>
      </c>
      <c r="CS15" s="1">
        <v>2249.89</v>
      </c>
      <c r="CT15" s="1">
        <v>4290.3</v>
      </c>
      <c r="CU15" s="1">
        <v>4631.07</v>
      </c>
      <c r="CV15" s="1">
        <v>757.8</v>
      </c>
      <c r="CW15" s="1">
        <v>19887.27</v>
      </c>
      <c r="CX15" s="1">
        <v>11445.62</v>
      </c>
      <c r="CY15" s="1">
        <v>2974.45</v>
      </c>
      <c r="CZ15" s="1">
        <v>20105.900000000001</v>
      </c>
      <c r="DA15" s="1">
        <v>12075.79</v>
      </c>
      <c r="DB15" s="1">
        <v>814.63</v>
      </c>
      <c r="DC15" s="1">
        <v>10776.48</v>
      </c>
      <c r="DD15" s="1">
        <v>4517.79</v>
      </c>
      <c r="DE15" s="1">
        <v>959.33</v>
      </c>
      <c r="DF15" s="1">
        <v>11186.24</v>
      </c>
      <c r="DG15" s="1">
        <v>9968.83</v>
      </c>
      <c r="DH15" s="1">
        <v>1638.02</v>
      </c>
      <c r="DI15" s="1">
        <v>3553.89</v>
      </c>
      <c r="DJ15" s="1">
        <v>10837.3</v>
      </c>
      <c r="DK15" s="1">
        <v>9771.68</v>
      </c>
      <c r="DL15" s="1">
        <v>7242.18</v>
      </c>
      <c r="DM15" s="1">
        <v>5822.31</v>
      </c>
      <c r="DN15" s="1">
        <v>17062.900000000001</v>
      </c>
      <c r="DO15" s="1">
        <v>3685.94</v>
      </c>
      <c r="DP15" s="1">
        <v>26717.439999999999</v>
      </c>
      <c r="DQ15" s="1">
        <v>19248.16</v>
      </c>
      <c r="DR15" s="1">
        <v>14161.4</v>
      </c>
      <c r="DS15" s="1">
        <v>6993.65</v>
      </c>
      <c r="DT15" s="1">
        <v>5882.8</v>
      </c>
      <c r="DU15" s="1">
        <v>7358.61</v>
      </c>
      <c r="DV15" s="1">
        <v>31051.71</v>
      </c>
      <c r="DW15" s="1">
        <v>28288.87</v>
      </c>
      <c r="DX15" s="1">
        <v>9969.5300000000007</v>
      </c>
      <c r="DY15" s="1">
        <v>3958.56</v>
      </c>
      <c r="DZ15" s="1">
        <v>4865.01</v>
      </c>
      <c r="EA15" s="1">
        <v>2407.75</v>
      </c>
      <c r="EB15" s="1">
        <v>11301.73</v>
      </c>
      <c r="EC15" s="1">
        <v>12614.92</v>
      </c>
      <c r="ED15" s="1">
        <v>3990.85</v>
      </c>
      <c r="EE15" s="1">
        <v>6023.85</v>
      </c>
      <c r="EF15" s="1">
        <v>10942.06</v>
      </c>
      <c r="EG15" s="1">
        <v>10855.74</v>
      </c>
      <c r="EH15" s="1">
        <v>2247.91</v>
      </c>
      <c r="EI15" s="1">
        <v>912.67</v>
      </c>
      <c r="EJ15" s="1">
        <v>725.24</v>
      </c>
      <c r="EK15" s="1">
        <v>11409.31</v>
      </c>
      <c r="EL15" s="1">
        <v>3179.56</v>
      </c>
      <c r="EM15" s="1">
        <v>2063.0500000000002</v>
      </c>
      <c r="EN15" s="1">
        <v>24473.53</v>
      </c>
      <c r="EO15" s="1">
        <v>20087.810000000001</v>
      </c>
      <c r="EP15" s="1">
        <v>3523.12</v>
      </c>
      <c r="EQ15" s="1">
        <v>7911.36</v>
      </c>
      <c r="ER15" s="1">
        <v>10560.22</v>
      </c>
      <c r="ES15" s="1">
        <v>8692</v>
      </c>
      <c r="ET15" s="1">
        <v>19980.439999999999</v>
      </c>
      <c r="EU15" s="1">
        <v>5616.12</v>
      </c>
      <c r="EV15" s="1">
        <v>6209.68</v>
      </c>
      <c r="EW15" s="1">
        <v>2924.2</v>
      </c>
      <c r="EX15" s="1">
        <v>1899.23</v>
      </c>
      <c r="EY15" s="1">
        <v>1529.12</v>
      </c>
      <c r="EZ15" s="1">
        <v>4903.3100000000004</v>
      </c>
      <c r="FA15" s="1">
        <v>2273.12</v>
      </c>
      <c r="FB15" s="1">
        <v>8437.84</v>
      </c>
      <c r="FC15" s="1">
        <v>22753.34</v>
      </c>
      <c r="FD15" s="1">
        <v>22804.62</v>
      </c>
      <c r="FE15" s="1">
        <v>5026.34</v>
      </c>
      <c r="FF15" s="1">
        <v>8412.41</v>
      </c>
      <c r="FG15" s="1">
        <v>9329.68</v>
      </c>
      <c r="FH15" s="1">
        <v>975.38</v>
      </c>
      <c r="FI15" s="1">
        <v>922.66</v>
      </c>
      <c r="FJ15" s="1">
        <v>11899.62</v>
      </c>
      <c r="FK15" s="1">
        <v>6809.18</v>
      </c>
      <c r="FL15" s="1">
        <v>10513.77</v>
      </c>
      <c r="FM15" s="1">
        <v>1423.4</v>
      </c>
      <c r="FN15" s="1">
        <v>16402.37</v>
      </c>
      <c r="FO15" s="1">
        <v>19716.98</v>
      </c>
      <c r="FP15" s="1">
        <v>28842.080000000002</v>
      </c>
      <c r="FQ15" s="1">
        <v>22746.38</v>
      </c>
      <c r="FR15" s="1">
        <v>3869.64</v>
      </c>
      <c r="FS15" s="1">
        <v>2815.99</v>
      </c>
      <c r="FT15" s="1">
        <v>9075.8700000000008</v>
      </c>
      <c r="FU15" s="1">
        <v>7371.19</v>
      </c>
      <c r="FV15" s="1">
        <v>2329.9299999999998</v>
      </c>
      <c r="FW15" s="1">
        <v>1096.77</v>
      </c>
      <c r="FX15" s="1">
        <v>3144.91</v>
      </c>
      <c r="FY15" s="1">
        <v>15920.42</v>
      </c>
      <c r="FZ15" s="1">
        <v>9317.52</v>
      </c>
      <c r="GA15" s="1">
        <v>11563.74</v>
      </c>
      <c r="GB15" s="1">
        <v>3685.19</v>
      </c>
      <c r="GC15" s="1">
        <v>9034.44</v>
      </c>
      <c r="GD15" s="1">
        <v>6290.34</v>
      </c>
      <c r="GE15" s="1">
        <v>508.81</v>
      </c>
      <c r="GF15" s="1">
        <v>1557.37</v>
      </c>
      <c r="GG15" s="1">
        <v>2102.89</v>
      </c>
      <c r="GH15" s="1">
        <v>1806.95</v>
      </c>
      <c r="GI15" s="1">
        <v>2607.92</v>
      </c>
      <c r="GJ15" s="1">
        <v>6834.47</v>
      </c>
      <c r="GK15" s="1">
        <v>828.29</v>
      </c>
      <c r="GL15" s="1">
        <v>1687.01</v>
      </c>
      <c r="GM15" s="1">
        <v>1519.82</v>
      </c>
      <c r="GN15" s="1">
        <v>1861.11</v>
      </c>
      <c r="GO15" s="1">
        <v>20494.88</v>
      </c>
      <c r="GP15" s="1">
        <v>4522.3599999999997</v>
      </c>
      <c r="GQ15" s="1">
        <v>5214.84</v>
      </c>
      <c r="GR15" s="1">
        <v>5141.4799999999996</v>
      </c>
      <c r="GS15" s="1">
        <v>6889.51</v>
      </c>
      <c r="GT15" s="1">
        <v>14007.76</v>
      </c>
      <c r="GU15" s="1">
        <v>27652.32</v>
      </c>
      <c r="GV15" s="1">
        <v>18886.34</v>
      </c>
      <c r="GW15" s="1">
        <v>15313.32</v>
      </c>
      <c r="GX15" s="1">
        <v>20312.28</v>
      </c>
      <c r="GY15" s="1">
        <v>17313.86</v>
      </c>
      <c r="GZ15" s="1">
        <v>6190.13</v>
      </c>
      <c r="HA15" s="1">
        <v>6099.65</v>
      </c>
      <c r="HB15" s="1">
        <v>8779.5499999999993</v>
      </c>
      <c r="HC15" s="1">
        <v>24864.81</v>
      </c>
      <c r="HD15" s="1">
        <v>14222.56</v>
      </c>
      <c r="HE15" s="1">
        <v>2529.21</v>
      </c>
      <c r="HF15" s="1">
        <v>4749.6000000000004</v>
      </c>
      <c r="HG15" s="1">
        <v>5847.01</v>
      </c>
      <c r="HH15" s="1">
        <v>2533.7199999999998</v>
      </c>
      <c r="HI15" s="1">
        <v>4614.09</v>
      </c>
      <c r="HJ15" s="1">
        <v>10673.02</v>
      </c>
      <c r="HK15" s="1">
        <v>4803.26</v>
      </c>
      <c r="HL15" s="1">
        <v>8697</v>
      </c>
      <c r="HM15" s="1">
        <v>25927.84</v>
      </c>
      <c r="HN15" s="1">
        <v>7913.52</v>
      </c>
      <c r="HO15" s="1">
        <v>24618.7</v>
      </c>
      <c r="HP15" s="1">
        <v>7978.77</v>
      </c>
      <c r="HQ15" s="1">
        <v>2317.84</v>
      </c>
      <c r="HR15" s="1">
        <v>8510.42</v>
      </c>
      <c r="HS15" s="1">
        <v>2945.62</v>
      </c>
      <c r="HT15" s="1">
        <v>3467.28</v>
      </c>
      <c r="HU15" s="1">
        <v>16929.28</v>
      </c>
      <c r="HV15" s="1">
        <v>28153.599999999999</v>
      </c>
      <c r="HW15" s="1">
        <v>8622.4500000000007</v>
      </c>
      <c r="HX15" s="1">
        <v>3882.26</v>
      </c>
      <c r="HY15" s="1">
        <v>1912.92</v>
      </c>
      <c r="HZ15" s="1">
        <v>528.70000000000005</v>
      </c>
      <c r="IA15" s="1">
        <v>2043.59</v>
      </c>
      <c r="IB15" s="1">
        <v>21684.43</v>
      </c>
      <c r="IC15" s="1">
        <v>14698.76</v>
      </c>
      <c r="ID15" s="1">
        <v>2212.5</v>
      </c>
      <c r="IE15" s="1">
        <v>1934.74</v>
      </c>
      <c r="IF15" s="1">
        <v>7129.01</v>
      </c>
      <c r="IG15" s="1">
        <v>2151.1999999999998</v>
      </c>
      <c r="IH15" s="1">
        <v>11168.58</v>
      </c>
      <c r="II15" s="1">
        <v>15068.02</v>
      </c>
      <c r="IJ15" s="1">
        <v>962.45</v>
      </c>
      <c r="IK15" s="1">
        <v>2402.67</v>
      </c>
      <c r="IL15" s="1">
        <v>9628.48</v>
      </c>
      <c r="IM15" s="1">
        <v>2928.33</v>
      </c>
      <c r="IN15" s="1">
        <v>11772.71</v>
      </c>
      <c r="IO15" s="1">
        <v>14593.15</v>
      </c>
      <c r="IP15" s="1">
        <v>3942.92</v>
      </c>
      <c r="IQ15" s="1">
        <v>23767.17</v>
      </c>
      <c r="IR15" s="1">
        <v>11662.66</v>
      </c>
      <c r="IS15" s="1">
        <v>5980.16</v>
      </c>
      <c r="IT15" s="1">
        <v>10762.15</v>
      </c>
      <c r="IU15" s="1">
        <v>5423.32</v>
      </c>
      <c r="IV15" s="1">
        <v>15894.71</v>
      </c>
      <c r="IW15" s="1">
        <v>15796.32</v>
      </c>
      <c r="IX15" s="1">
        <v>685.71</v>
      </c>
      <c r="IY15" s="1">
        <v>12628.35</v>
      </c>
      <c r="IZ15" s="1">
        <v>10464.43</v>
      </c>
      <c r="JA15" s="1">
        <v>1844.86</v>
      </c>
      <c r="JB15" s="1">
        <v>1066.5</v>
      </c>
      <c r="JC15" s="1">
        <v>15575.43</v>
      </c>
      <c r="JD15" s="1">
        <v>15161.02</v>
      </c>
      <c r="JE15" s="1">
        <v>3604.16</v>
      </c>
      <c r="JF15" s="1">
        <v>14134.75</v>
      </c>
      <c r="JG15" s="1">
        <v>14724.65</v>
      </c>
      <c r="JH15" s="1">
        <v>855.74</v>
      </c>
      <c r="JI15" s="1">
        <v>2394.5</v>
      </c>
      <c r="JJ15" s="1">
        <v>12626.16</v>
      </c>
      <c r="JK15" s="1">
        <v>17264.5</v>
      </c>
      <c r="JL15" s="1">
        <v>7408.53</v>
      </c>
      <c r="JM15" s="1">
        <v>17170.46</v>
      </c>
      <c r="JN15" s="1">
        <v>2193.8200000000002</v>
      </c>
      <c r="JO15" s="1">
        <v>5032.6000000000004</v>
      </c>
      <c r="JP15" s="1">
        <v>3029.14</v>
      </c>
      <c r="JQ15" s="1">
        <v>24708.61</v>
      </c>
      <c r="JR15" s="1">
        <v>4824.43</v>
      </c>
      <c r="JS15" s="1">
        <v>3965.44</v>
      </c>
      <c r="JT15" s="1">
        <v>21449.22</v>
      </c>
      <c r="JU15" s="1">
        <v>25732.02</v>
      </c>
      <c r="JV15" s="1">
        <v>15492.2</v>
      </c>
      <c r="JW15" s="1">
        <v>409.94</v>
      </c>
      <c r="JX15" s="1">
        <v>465.54</v>
      </c>
      <c r="JY15" s="1">
        <v>8189.02</v>
      </c>
      <c r="JZ15" s="1">
        <v>1263.73</v>
      </c>
      <c r="KA15" s="1">
        <v>1258.5</v>
      </c>
      <c r="KB15" s="1">
        <v>11619.96</v>
      </c>
      <c r="KC15" s="1">
        <v>28734</v>
      </c>
      <c r="KD15" s="1">
        <v>7821.58</v>
      </c>
      <c r="KE15" s="1">
        <v>19406.810000000001</v>
      </c>
      <c r="KF15" s="1">
        <v>21554.99</v>
      </c>
      <c r="KG15" s="1">
        <v>6699.96</v>
      </c>
      <c r="KH15" s="1">
        <v>7166.18</v>
      </c>
      <c r="KI15" s="1">
        <v>2902.47</v>
      </c>
      <c r="KJ15" s="1">
        <v>619.73</v>
      </c>
      <c r="KK15" s="1">
        <v>13539.07</v>
      </c>
      <c r="KL15" s="1">
        <v>2112.3000000000002</v>
      </c>
      <c r="KM15" s="1">
        <v>35892.9</v>
      </c>
      <c r="KN15" s="1">
        <v>7321.28</v>
      </c>
      <c r="KO15" s="1">
        <v>10359.16</v>
      </c>
      <c r="KP15" s="1">
        <v>6588.4</v>
      </c>
      <c r="KQ15" s="1">
        <v>4233.32</v>
      </c>
      <c r="KR15" s="1">
        <v>1543.2</v>
      </c>
      <c r="KS15" s="1">
        <v>8152.06</v>
      </c>
      <c r="KT15" s="1">
        <v>5209.63</v>
      </c>
      <c r="KU15" s="1">
        <v>2713.41</v>
      </c>
      <c r="KV15" s="1">
        <v>7632.11</v>
      </c>
      <c r="KW15" s="1">
        <v>12572.8</v>
      </c>
      <c r="KX15" s="1">
        <v>2466.41</v>
      </c>
      <c r="KY15" s="1">
        <v>16748.77</v>
      </c>
      <c r="KZ15" s="1">
        <v>7776.74</v>
      </c>
      <c r="LA15" s="1">
        <v>2588.64</v>
      </c>
      <c r="LB15" s="1">
        <v>2763.58</v>
      </c>
      <c r="LC15" s="1">
        <v>1597.76</v>
      </c>
      <c r="LD15" s="1">
        <v>22120.54</v>
      </c>
      <c r="LE15" s="1">
        <v>16518.97</v>
      </c>
      <c r="LF15" s="1">
        <v>1261.95</v>
      </c>
      <c r="LG15" s="1">
        <v>1715.21</v>
      </c>
      <c r="LH15" s="1">
        <v>10516.88</v>
      </c>
      <c r="LI15" s="1">
        <v>18038.240000000002</v>
      </c>
      <c r="LJ15" s="1">
        <v>18946.54</v>
      </c>
      <c r="LK15" s="1">
        <v>3204.1</v>
      </c>
      <c r="LL15" s="1">
        <v>3069.25</v>
      </c>
      <c r="LM15" s="1">
        <v>26565.24</v>
      </c>
      <c r="LN15" s="1">
        <v>5111.05</v>
      </c>
      <c r="LO15" s="1">
        <v>6171.55</v>
      </c>
      <c r="LP15" s="1">
        <v>23802.6</v>
      </c>
      <c r="LQ15" s="1">
        <v>5012.16</v>
      </c>
      <c r="LR15" s="1">
        <v>2537.09</v>
      </c>
      <c r="LS15" s="1">
        <v>22279.599999999999</v>
      </c>
      <c r="LT15" s="1">
        <v>4217.87</v>
      </c>
      <c r="LU15" s="1">
        <v>2537.1799999999998</v>
      </c>
      <c r="LV15" s="1">
        <v>16028.83</v>
      </c>
      <c r="LW15" s="1">
        <v>10063.08</v>
      </c>
      <c r="LX15" s="1">
        <v>13370.56</v>
      </c>
      <c r="LY15" s="1">
        <v>957.52</v>
      </c>
      <c r="LZ15" s="1">
        <v>23270.36</v>
      </c>
      <c r="MA15" s="1">
        <v>1114.6099999999999</v>
      </c>
      <c r="MB15" s="1">
        <v>14092.34</v>
      </c>
      <c r="MC15" s="1">
        <v>10111.82</v>
      </c>
      <c r="MD15" s="1">
        <v>2567.7199999999998</v>
      </c>
      <c r="ME15" s="1">
        <v>8338.99</v>
      </c>
      <c r="MF15" s="1">
        <v>2194.5700000000002</v>
      </c>
      <c r="MG15" s="1">
        <v>8914.59</v>
      </c>
      <c r="MH15" s="1">
        <v>3262.88</v>
      </c>
      <c r="MI15" s="1">
        <v>27325.03</v>
      </c>
      <c r="MJ15" s="1">
        <v>2049.1799999999998</v>
      </c>
      <c r="MK15" s="1">
        <v>4580.21</v>
      </c>
      <c r="ML15" s="1">
        <v>18705.8</v>
      </c>
      <c r="MM15" s="1">
        <v>2966.7</v>
      </c>
      <c r="MN15" s="1">
        <v>4905.13</v>
      </c>
      <c r="MO15" s="1">
        <v>3313.66</v>
      </c>
      <c r="MP15" s="1">
        <v>10521.12</v>
      </c>
      <c r="MQ15" s="1">
        <v>2874.34</v>
      </c>
      <c r="MR15" s="1">
        <v>22511.119999999999</v>
      </c>
      <c r="MS15" s="1">
        <v>9637.24</v>
      </c>
      <c r="MT15" s="1">
        <v>10402.48</v>
      </c>
      <c r="MU15" s="1">
        <v>24351.62</v>
      </c>
      <c r="MV15" s="1">
        <v>192.37</v>
      </c>
      <c r="MW15" s="1">
        <v>9469</v>
      </c>
      <c r="MX15" s="1">
        <v>5482.25</v>
      </c>
      <c r="MY15" s="1">
        <v>4035.58</v>
      </c>
      <c r="MZ15" s="1">
        <v>479.35</v>
      </c>
      <c r="NA15" s="1">
        <v>2959.93</v>
      </c>
      <c r="NB15" s="1">
        <v>14373.84</v>
      </c>
      <c r="NC15" s="1">
        <v>16604.400000000001</v>
      </c>
      <c r="ND15" s="1">
        <v>27438.51</v>
      </c>
      <c r="NE15" s="1">
        <v>13562.91</v>
      </c>
      <c r="NF15" s="1">
        <v>22284.89</v>
      </c>
      <c r="NG15" s="1">
        <v>9771.36</v>
      </c>
      <c r="NH15" s="1">
        <v>13032.62</v>
      </c>
      <c r="NI15" s="1">
        <v>7518.34</v>
      </c>
      <c r="NJ15" s="1">
        <v>6114.3</v>
      </c>
      <c r="NK15" s="1">
        <v>6604.44</v>
      </c>
      <c r="NL15" s="1">
        <v>5694.81</v>
      </c>
      <c r="NM15" s="1">
        <v>3474.94</v>
      </c>
      <c r="NN15" s="1">
        <v>3511.2</v>
      </c>
      <c r="NO15" s="1">
        <v>27089.88</v>
      </c>
      <c r="NP15" s="1">
        <v>3715.13</v>
      </c>
      <c r="NQ15" s="1">
        <v>4612.1099999999997</v>
      </c>
      <c r="NR15" s="1">
        <v>1389.23</v>
      </c>
      <c r="NS15" s="1">
        <v>2904.34</v>
      </c>
      <c r="NT15" s="1">
        <v>3044.34</v>
      </c>
      <c r="NU15" s="1">
        <v>7742.72</v>
      </c>
      <c r="NV15" s="1">
        <v>3731.7</v>
      </c>
      <c r="NW15" s="1">
        <v>3571.88</v>
      </c>
      <c r="NX15" s="1">
        <v>9353.2000000000007</v>
      </c>
      <c r="NY15" s="1">
        <v>5488.53</v>
      </c>
      <c r="NZ15" s="1">
        <v>24215.03</v>
      </c>
      <c r="OA15" s="1">
        <v>2065.81</v>
      </c>
      <c r="OB15" s="1">
        <v>16946.52</v>
      </c>
      <c r="OC15" s="1">
        <v>3962.65</v>
      </c>
      <c r="OD15" s="1">
        <v>21551.4</v>
      </c>
      <c r="OE15" s="1">
        <v>16298.88</v>
      </c>
      <c r="OF15" s="1">
        <v>1098.56</v>
      </c>
      <c r="OG15" s="1">
        <v>12008.82</v>
      </c>
      <c r="OH15" s="1">
        <v>7172.3</v>
      </c>
      <c r="OI15" s="1">
        <v>16228.85</v>
      </c>
      <c r="OJ15" s="1">
        <v>5369.58</v>
      </c>
      <c r="OK15" s="1">
        <v>14326.31</v>
      </c>
      <c r="OL15" s="1">
        <v>1923.29</v>
      </c>
      <c r="OM15" s="1">
        <v>16087.13</v>
      </c>
      <c r="ON15" s="1">
        <v>2332.19</v>
      </c>
      <c r="OO15" s="1">
        <v>11177.53</v>
      </c>
      <c r="OP15" s="1">
        <v>5069.16</v>
      </c>
      <c r="OQ15" s="1">
        <v>2044.41</v>
      </c>
      <c r="OR15" s="1">
        <v>23159.23</v>
      </c>
      <c r="OS15" s="1">
        <v>3344.9</v>
      </c>
      <c r="OT15" s="1">
        <v>6427.45</v>
      </c>
      <c r="OU15" s="1">
        <v>6473.92</v>
      </c>
      <c r="OV15" s="1">
        <v>6172.3</v>
      </c>
      <c r="OW15" s="1">
        <v>8409.6299999999992</v>
      </c>
      <c r="OX15" s="1">
        <v>10380.719999999999</v>
      </c>
      <c r="OY15" s="1">
        <v>1158.71</v>
      </c>
      <c r="OZ15" s="1">
        <v>4992.51</v>
      </c>
      <c r="PA15" s="1">
        <v>21278.560000000001</v>
      </c>
      <c r="PB15" s="1">
        <v>3354.81</v>
      </c>
      <c r="PC15" s="1">
        <v>28120.1</v>
      </c>
      <c r="PD15" s="1">
        <v>15014.03</v>
      </c>
      <c r="PE15" s="1">
        <v>732.19</v>
      </c>
      <c r="PF15" s="1">
        <v>1273.6099999999999</v>
      </c>
      <c r="PG15" s="1">
        <v>6570.38</v>
      </c>
      <c r="PH15" s="1">
        <v>30296.43</v>
      </c>
      <c r="PI15" s="1">
        <v>15583.46</v>
      </c>
      <c r="PJ15" s="1">
        <v>7656.83</v>
      </c>
      <c r="PK15" s="1">
        <v>10626.78</v>
      </c>
      <c r="PL15" s="1">
        <v>20986.74</v>
      </c>
      <c r="PM15" s="1">
        <v>4262.18</v>
      </c>
      <c r="PN15" s="1">
        <v>2004.99</v>
      </c>
      <c r="PO15" s="1">
        <v>28163.3</v>
      </c>
      <c r="PP15" s="1">
        <v>11461.59</v>
      </c>
      <c r="PQ15" s="1">
        <v>5446.44</v>
      </c>
      <c r="PR15" s="1">
        <v>14362</v>
      </c>
      <c r="PS15" s="1">
        <v>2799.1</v>
      </c>
      <c r="PT15" s="1">
        <v>10934.34</v>
      </c>
      <c r="PU15" s="1">
        <v>9568.27</v>
      </c>
      <c r="PV15" s="1">
        <v>19357.29</v>
      </c>
      <c r="PW15" s="1">
        <v>14022.99</v>
      </c>
      <c r="PX15" s="1">
        <v>3911.27</v>
      </c>
      <c r="PY15" s="1">
        <v>3397.56</v>
      </c>
      <c r="PZ15" s="1">
        <v>5254.56</v>
      </c>
      <c r="QA15" s="1">
        <v>24054.57</v>
      </c>
      <c r="QB15" s="1">
        <v>18539.05</v>
      </c>
      <c r="QC15" s="1">
        <v>7027.99</v>
      </c>
      <c r="QD15" s="1">
        <v>19979.150000000001</v>
      </c>
      <c r="QE15" s="1">
        <v>2633.24</v>
      </c>
      <c r="QF15" s="1">
        <v>13936.36</v>
      </c>
      <c r="QG15" s="1">
        <v>16180.04</v>
      </c>
      <c r="QH15" s="1">
        <v>14185.29</v>
      </c>
      <c r="QI15" s="1">
        <v>15416.8</v>
      </c>
      <c r="QJ15" s="1">
        <v>9330.09</v>
      </c>
      <c r="QK15" s="1">
        <v>1495.86</v>
      </c>
      <c r="QL15" s="1">
        <v>11573.53</v>
      </c>
      <c r="QM15" s="1">
        <v>22979.23</v>
      </c>
      <c r="QN15" s="1">
        <v>2748.46</v>
      </c>
      <c r="QO15" s="1">
        <v>6431.29</v>
      </c>
      <c r="QP15" s="1">
        <v>7403.3</v>
      </c>
      <c r="QQ15" s="1">
        <v>26654.75</v>
      </c>
      <c r="QR15" s="1">
        <v>6230.08</v>
      </c>
      <c r="QS15" s="1">
        <v>400.84</v>
      </c>
      <c r="QT15" s="1">
        <v>2683.62</v>
      </c>
      <c r="QU15" s="1">
        <v>2080.35</v>
      </c>
      <c r="QV15" s="1">
        <v>8807.36</v>
      </c>
      <c r="QW15" s="1">
        <v>447.52</v>
      </c>
      <c r="QX15" s="1">
        <v>1886.21</v>
      </c>
      <c r="QY15" s="1">
        <v>22638.240000000002</v>
      </c>
      <c r="QZ15" s="1">
        <v>11933.05</v>
      </c>
      <c r="RA15" s="1">
        <v>14462.55</v>
      </c>
      <c r="RB15" s="1">
        <v>18740.41</v>
      </c>
      <c r="RC15" s="1">
        <v>1145.47</v>
      </c>
      <c r="RD15" s="1">
        <v>21493.16</v>
      </c>
      <c r="RE15" s="1">
        <v>11354.63</v>
      </c>
      <c r="RF15" s="1">
        <v>10893.61</v>
      </c>
      <c r="RG15" s="1">
        <v>1426.51</v>
      </c>
      <c r="RH15" s="1">
        <v>11990.35</v>
      </c>
      <c r="RI15" s="1">
        <v>5592.32</v>
      </c>
      <c r="RJ15" s="1">
        <v>5924.8</v>
      </c>
      <c r="RK15" s="1">
        <v>3187.82</v>
      </c>
      <c r="RL15" s="1">
        <v>2186.1799999999998</v>
      </c>
      <c r="RM15" s="1">
        <v>4309.5</v>
      </c>
      <c r="RN15" s="1">
        <v>9284.08</v>
      </c>
      <c r="RO15" s="1">
        <v>12164.54</v>
      </c>
      <c r="RP15" s="1">
        <v>1734.45</v>
      </c>
      <c r="RQ15" s="1">
        <v>26542.62</v>
      </c>
      <c r="RR15" s="1">
        <v>2201.23</v>
      </c>
      <c r="RS15" s="1">
        <v>6981.93</v>
      </c>
      <c r="RT15" s="1">
        <v>8803.65</v>
      </c>
      <c r="RU15" s="1">
        <v>281.8</v>
      </c>
      <c r="RV15" s="1">
        <v>19280.29</v>
      </c>
      <c r="RW15" s="1">
        <v>15893.14</v>
      </c>
      <c r="RX15" s="1">
        <v>3909.72</v>
      </c>
      <c r="RY15" s="1">
        <v>1557.8</v>
      </c>
      <c r="RZ15" s="1">
        <v>9765.19</v>
      </c>
      <c r="SA15" s="1">
        <v>2515.5500000000002</v>
      </c>
      <c r="SB15" s="1">
        <v>4787.5200000000004</v>
      </c>
      <c r="SC15" s="1">
        <v>5418.77</v>
      </c>
      <c r="SD15" s="1">
        <v>6437.75</v>
      </c>
      <c r="SE15" s="1">
        <v>15770.81</v>
      </c>
      <c r="SF15" s="1">
        <v>4695.08</v>
      </c>
      <c r="SG15" s="1">
        <v>1945.74</v>
      </c>
    </row>
    <row r="18" spans="3:4" x14ac:dyDescent="0.3">
      <c r="C18" s="3" t="s">
        <v>0</v>
      </c>
      <c r="D18" s="3" t="s">
        <v>5</v>
      </c>
    </row>
    <row r="19" spans="3:4" x14ac:dyDescent="0.3">
      <c r="C19">
        <v>10003</v>
      </c>
      <c r="D19" t="str">
        <f>HLOOKUP(C19,A1:SG15,6,0)</f>
        <v>West Bengal</v>
      </c>
    </row>
  </sheetData>
  <dataValidations count="1">
    <dataValidation type="list" allowBlank="1" showInputMessage="1" showErrorMessage="1" sqref="C19" xr:uid="{A8D3DEE1-9BB0-485D-A50E-2BBC2ADA71F1}">
      <formula1>$B$1:$SG$1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F727-D3BE-415D-A331-59DD99D60C4A}">
  <dimension ref="A1:AV502"/>
  <sheetViews>
    <sheetView topLeftCell="A471" zoomScale="96" workbookViewId="0">
      <selection sqref="A1:G501"/>
    </sheetView>
  </sheetViews>
  <sheetFormatPr defaultRowHeight="14.4" x14ac:dyDescent="0.3"/>
  <cols>
    <col min="1" max="1" width="11.6640625" bestFit="1" customWidth="1"/>
    <col min="2" max="2" width="15.88671875" bestFit="1" customWidth="1"/>
    <col min="3" max="3" width="14.44140625" bestFit="1" customWidth="1"/>
    <col min="4" max="4" width="13" bestFit="1" customWidth="1"/>
    <col min="5" max="5" width="11.21875" bestFit="1" customWidth="1"/>
    <col min="6" max="6" width="13" bestFit="1" customWidth="1"/>
    <col min="7" max="7" width="17.6640625" bestFit="1" customWidth="1"/>
    <col min="8" max="8" width="20.88671875" bestFit="1" customWidth="1"/>
    <col min="9" max="9" width="22.5546875" bestFit="1" customWidth="1"/>
    <col min="10" max="10" width="17.88671875" bestFit="1" customWidth="1"/>
    <col min="11" max="11" width="8.77734375" bestFit="1" customWidth="1"/>
    <col min="12" max="12" width="13.88671875" bestFit="1" customWidth="1"/>
    <col min="13" max="13" width="13.21875" bestFit="1" customWidth="1"/>
    <col min="14" max="14" width="14.21875" bestFit="1" customWidth="1"/>
    <col min="15" max="15" width="12.6640625" bestFit="1" customWidth="1"/>
    <col min="16" max="16" width="20.5546875" bestFit="1" customWidth="1"/>
    <col min="17" max="17" width="24.88671875" bestFit="1" customWidth="1"/>
    <col min="18" max="18" width="14.44140625" bestFit="1" customWidth="1"/>
    <col min="19" max="19" width="15.6640625" bestFit="1" customWidth="1"/>
    <col min="20" max="20" width="16.109375" bestFit="1" customWidth="1"/>
    <col min="21" max="21" width="14.5546875" bestFit="1" customWidth="1"/>
    <col min="28" max="29" width="9" bestFit="1" customWidth="1"/>
    <col min="30" max="31" width="12" bestFit="1" customWidth="1"/>
  </cols>
  <sheetData>
    <row r="1" spans="1:4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72</v>
      </c>
      <c r="S1" s="3" t="s">
        <v>73</v>
      </c>
      <c r="T1" s="9" t="s">
        <v>74</v>
      </c>
      <c r="U1" s="3" t="s">
        <v>79</v>
      </c>
      <c r="Z1" s="3" t="s">
        <v>4</v>
      </c>
      <c r="AB1" s="3" t="s">
        <v>0</v>
      </c>
      <c r="AC1" s="3" t="s">
        <v>1</v>
      </c>
      <c r="AD1" s="3" t="s">
        <v>2</v>
      </c>
      <c r="AE1" s="3" t="s">
        <v>3</v>
      </c>
      <c r="AF1" s="3" t="s">
        <v>4</v>
      </c>
      <c r="AG1" s="3" t="s">
        <v>5</v>
      </c>
      <c r="AH1" s="3" t="s">
        <v>6</v>
      </c>
      <c r="AI1" s="3" t="s">
        <v>7</v>
      </c>
      <c r="AJ1" s="3" t="s">
        <v>8</v>
      </c>
      <c r="AK1" s="3" t="s">
        <v>9</v>
      </c>
      <c r="AL1" s="3" t="s">
        <v>10</v>
      </c>
      <c r="AM1" s="3" t="s">
        <v>11</v>
      </c>
      <c r="AN1" s="3" t="s">
        <v>12</v>
      </c>
      <c r="AO1" s="3" t="s">
        <v>13</v>
      </c>
      <c r="AP1" s="3" t="s">
        <v>14</v>
      </c>
      <c r="AQ1" s="3" t="s">
        <v>70</v>
      </c>
      <c r="AR1" s="3" t="s">
        <v>71</v>
      </c>
      <c r="AS1" s="3" t="s">
        <v>72</v>
      </c>
      <c r="AT1" s="3" t="s">
        <v>73</v>
      </c>
      <c r="AU1" s="9" t="s">
        <v>74</v>
      </c>
      <c r="AV1" s="3" t="s">
        <v>79</v>
      </c>
    </row>
    <row r="2" spans="1:48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>
        <f>O2*N2%</f>
        <v>0</v>
      </c>
      <c r="Q2" s="1">
        <f>O2-P2</f>
        <v>19907.09</v>
      </c>
      <c r="R2" s="1" t="str">
        <f>IF(L2&gt;=5,"high","low")</f>
        <v>high</v>
      </c>
      <c r="S2" s="1" t="str" cm="1">
        <f t="array" ref="S2">_xlfn.IFS(L2&gt;5,"high",L2=5,"medium",L2&lt;5,"low")</f>
        <v>high</v>
      </c>
      <c r="T2" s="10" t="str">
        <f>IF(L2&gt;5,"high",IF(L2=5,"medium","low"))</f>
        <v>high</v>
      </c>
      <c r="U2" s="1">
        <f>L2*M2</f>
        <v>19907.09</v>
      </c>
      <c r="Z2" s="1" t="s">
        <v>15</v>
      </c>
      <c r="AB2" s="1">
        <v>10001</v>
      </c>
      <c r="AC2" s="1">
        <v>1102</v>
      </c>
      <c r="AD2" s="2">
        <v>45197</v>
      </c>
      <c r="AE2" s="2">
        <v>45203</v>
      </c>
      <c r="AF2" s="1" t="s">
        <v>15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>
        <v>7</v>
      </c>
      <c r="AN2" s="1">
        <v>2843.87</v>
      </c>
      <c r="AO2" s="1">
        <v>0</v>
      </c>
      <c r="AP2" s="1">
        <v>19907.09</v>
      </c>
      <c r="AQ2" s="1">
        <v>0</v>
      </c>
      <c r="AR2" s="1">
        <v>19907.09</v>
      </c>
      <c r="AS2" s="1" t="s">
        <v>84</v>
      </c>
      <c r="AT2" s="1" t="s">
        <v>84</v>
      </c>
      <c r="AU2" s="10" t="s">
        <v>84</v>
      </c>
      <c r="AV2" s="1">
        <v>19907.09</v>
      </c>
    </row>
    <row r="3" spans="1:48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O3*N3%</f>
        <v>1079.5360000000001</v>
      </c>
      <c r="Q3" s="1">
        <f t="shared" ref="Q3:Q66" si="1">O3-P3</f>
        <v>20511.184000000001</v>
      </c>
      <c r="R3" s="1" t="str">
        <f t="shared" ref="R3:R66" si="2">IF(L3&gt;=5,"high","low")</f>
        <v>high</v>
      </c>
      <c r="S3" s="1" t="str" cm="1">
        <f t="array" ref="S3">_xlfn.IFS(L3&gt;5,"high",L3=5,"medium",L3&lt;5,"low")</f>
        <v>high</v>
      </c>
      <c r="T3" s="10" t="str">
        <f t="shared" ref="T3:T66" si="3">IF(L3&gt;5,"high",IF(L3=5,"medium","low"))</f>
        <v>high</v>
      </c>
      <c r="U3" s="1">
        <f t="shared" ref="U3:U66" si="4">L3*M3</f>
        <v>22727.07</v>
      </c>
      <c r="AB3" s="1">
        <v>10003</v>
      </c>
      <c r="AC3" s="1">
        <v>1860</v>
      </c>
      <c r="AD3" s="2">
        <v>45109</v>
      </c>
      <c r="AE3" s="2">
        <v>45114</v>
      </c>
      <c r="AF3" s="1" t="s">
        <v>15</v>
      </c>
      <c r="AG3" s="1" t="s">
        <v>29</v>
      </c>
      <c r="AH3" s="1" t="s">
        <v>30</v>
      </c>
      <c r="AI3" s="1" t="s">
        <v>25</v>
      </c>
      <c r="AJ3" s="1" t="s">
        <v>31</v>
      </c>
      <c r="AK3" s="1" t="s">
        <v>32</v>
      </c>
      <c r="AL3" s="1" t="s">
        <v>33</v>
      </c>
      <c r="AM3" s="1">
        <v>6</v>
      </c>
      <c r="AN3" s="1">
        <v>3474.34</v>
      </c>
      <c r="AO3" s="1">
        <v>15</v>
      </c>
      <c r="AP3" s="1">
        <v>17719.13</v>
      </c>
      <c r="AQ3" s="1">
        <v>2657.8695000000002</v>
      </c>
      <c r="AR3" s="1">
        <v>15061.2605</v>
      </c>
      <c r="AS3" s="1" t="s">
        <v>84</v>
      </c>
      <c r="AT3" s="1" t="s">
        <v>84</v>
      </c>
      <c r="AU3" s="10" t="s">
        <v>84</v>
      </c>
      <c r="AV3" s="1">
        <v>20846.04</v>
      </c>
    </row>
    <row r="4" spans="1:48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2657.8695000000002</v>
      </c>
      <c r="Q4" s="1">
        <f t="shared" si="1"/>
        <v>15061.2605</v>
      </c>
      <c r="R4" s="1" t="str">
        <f t="shared" si="2"/>
        <v>high</v>
      </c>
      <c r="S4" s="1" t="str" cm="1">
        <f t="array" ref="S4">_xlfn.IFS(L4&gt;5,"high",L4=5,"medium",L4&lt;5,"low")</f>
        <v>high</v>
      </c>
      <c r="T4" s="10" t="str">
        <f t="shared" si="3"/>
        <v>high</v>
      </c>
      <c r="U4" s="1">
        <f t="shared" si="4"/>
        <v>20846.04</v>
      </c>
      <c r="AB4" s="1">
        <v>10009</v>
      </c>
      <c r="AC4" s="1">
        <v>1614</v>
      </c>
      <c r="AD4" s="2">
        <v>45204</v>
      </c>
      <c r="AE4" s="2">
        <v>45213</v>
      </c>
      <c r="AF4" s="1" t="s">
        <v>15</v>
      </c>
      <c r="AG4" s="1" t="s">
        <v>29</v>
      </c>
      <c r="AH4" s="1" t="s">
        <v>24</v>
      </c>
      <c r="AI4" s="1" t="s">
        <v>25</v>
      </c>
      <c r="AJ4" s="1" t="s">
        <v>31</v>
      </c>
      <c r="AK4" s="1" t="s">
        <v>48</v>
      </c>
      <c r="AL4" s="1" t="s">
        <v>28</v>
      </c>
      <c r="AM4" s="1">
        <v>5</v>
      </c>
      <c r="AN4" s="1">
        <v>1098.04</v>
      </c>
      <c r="AO4" s="1">
        <v>15</v>
      </c>
      <c r="AP4" s="1">
        <v>4666.67</v>
      </c>
      <c r="AQ4" s="1">
        <v>700.00049999999999</v>
      </c>
      <c r="AR4" s="1">
        <v>3966.6695</v>
      </c>
      <c r="AS4" s="1" t="s">
        <v>84</v>
      </c>
      <c r="AT4" s="1" t="s">
        <v>85</v>
      </c>
      <c r="AU4" s="10" t="s">
        <v>85</v>
      </c>
      <c r="AV4" s="1">
        <v>5490.2</v>
      </c>
    </row>
    <row r="5" spans="1:48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128.62049999999999</v>
      </c>
      <c r="Q5" s="1">
        <f t="shared" si="1"/>
        <v>728.84950000000003</v>
      </c>
      <c r="R5" s="1" t="str">
        <f t="shared" si="2"/>
        <v>low</v>
      </c>
      <c r="S5" s="1" t="str" cm="1">
        <f t="array" ref="S5">_xlfn.IFS(L5&gt;5,"high",L5=5,"medium",L5&lt;5,"low")</f>
        <v>low</v>
      </c>
      <c r="T5" s="10" t="str">
        <f t="shared" si="3"/>
        <v>low</v>
      </c>
      <c r="U5" s="1">
        <f t="shared" si="4"/>
        <v>1008.79</v>
      </c>
      <c r="AB5" s="1">
        <v>10018</v>
      </c>
      <c r="AC5" s="1">
        <v>1871</v>
      </c>
      <c r="AD5" s="2">
        <v>45045</v>
      </c>
      <c r="AE5" s="2">
        <v>45048</v>
      </c>
      <c r="AF5" s="1" t="s">
        <v>15</v>
      </c>
      <c r="AG5" s="1" t="s">
        <v>29</v>
      </c>
      <c r="AH5" s="1" t="s">
        <v>24</v>
      </c>
      <c r="AI5" s="1" t="s">
        <v>18</v>
      </c>
      <c r="AJ5" s="1" t="s">
        <v>19</v>
      </c>
      <c r="AK5" s="1" t="s">
        <v>55</v>
      </c>
      <c r="AL5" s="1" t="s">
        <v>28</v>
      </c>
      <c r="AM5" s="1">
        <v>1</v>
      </c>
      <c r="AN5" s="1">
        <v>2165.81</v>
      </c>
      <c r="AO5" s="1">
        <v>15</v>
      </c>
      <c r="AP5" s="1">
        <v>1840.94</v>
      </c>
      <c r="AQ5" s="1">
        <v>276.14100000000002</v>
      </c>
      <c r="AR5" s="1">
        <v>1564.799</v>
      </c>
      <c r="AS5" s="1" t="s">
        <v>86</v>
      </c>
      <c r="AT5" s="1" t="s">
        <v>86</v>
      </c>
      <c r="AU5" s="10" t="s">
        <v>86</v>
      </c>
      <c r="AV5" s="1">
        <v>2165.81</v>
      </c>
    </row>
    <row r="6" spans="1:48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3932.846</v>
      </c>
      <c r="Q6" s="1">
        <f t="shared" si="1"/>
        <v>15731.384</v>
      </c>
      <c r="R6" s="1" t="str">
        <f t="shared" si="2"/>
        <v>high</v>
      </c>
      <c r="S6" s="1" t="str" cm="1">
        <f t="array" ref="S6">_xlfn.IFS(L6&gt;5,"high",L6=5,"medium",L6&lt;5,"low")</f>
        <v>high</v>
      </c>
      <c r="T6" s="10" t="str">
        <f t="shared" si="3"/>
        <v>high</v>
      </c>
      <c r="U6" s="1">
        <f t="shared" si="4"/>
        <v>24580.289999999997</v>
      </c>
      <c r="AB6" s="1">
        <v>10031</v>
      </c>
      <c r="AC6" s="1">
        <v>1276</v>
      </c>
      <c r="AD6" s="2">
        <v>45162</v>
      </c>
      <c r="AE6" s="2">
        <v>45166</v>
      </c>
      <c r="AF6" s="1" t="s">
        <v>15</v>
      </c>
      <c r="AG6" s="1" t="s">
        <v>29</v>
      </c>
      <c r="AH6" s="1" t="s">
        <v>30</v>
      </c>
      <c r="AI6" s="1" t="s">
        <v>42</v>
      </c>
      <c r="AJ6" s="1" t="s">
        <v>57</v>
      </c>
      <c r="AK6" s="1" t="s">
        <v>62</v>
      </c>
      <c r="AL6" s="1" t="s">
        <v>47</v>
      </c>
      <c r="AM6" s="1">
        <v>5</v>
      </c>
      <c r="AN6" s="1">
        <v>2295.65</v>
      </c>
      <c r="AO6" s="1">
        <v>20</v>
      </c>
      <c r="AP6" s="1">
        <v>9182.6</v>
      </c>
      <c r="AQ6" s="1">
        <v>1836.5200000000002</v>
      </c>
      <c r="AR6" s="1">
        <v>7346.08</v>
      </c>
      <c r="AS6" s="1" t="s">
        <v>84</v>
      </c>
      <c r="AT6" s="1" t="s">
        <v>85</v>
      </c>
      <c r="AU6" s="10" t="s">
        <v>85</v>
      </c>
      <c r="AV6" s="1">
        <v>11478.25</v>
      </c>
    </row>
    <row r="7" spans="1:48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861.17800000000011</v>
      </c>
      <c r="Q7" s="1">
        <f t="shared" si="1"/>
        <v>7750.6020000000008</v>
      </c>
      <c r="R7" s="1" t="str">
        <f t="shared" si="2"/>
        <v>low</v>
      </c>
      <c r="S7" s="1" t="str" cm="1">
        <f t="array" ref="S7">_xlfn.IFS(L7&gt;5,"high",L7=5,"medium",L7&lt;5,"low")</f>
        <v>low</v>
      </c>
      <c r="T7" s="10" t="str">
        <f t="shared" si="3"/>
        <v>low</v>
      </c>
      <c r="U7" s="1">
        <f t="shared" si="4"/>
        <v>9568.6500000000015</v>
      </c>
      <c r="AB7" s="1">
        <v>10032</v>
      </c>
      <c r="AC7" s="1">
        <v>1160</v>
      </c>
      <c r="AD7" s="2">
        <v>45150</v>
      </c>
      <c r="AE7" s="2">
        <v>45158</v>
      </c>
      <c r="AF7" s="1" t="s">
        <v>15</v>
      </c>
      <c r="AG7" s="1" t="s">
        <v>41</v>
      </c>
      <c r="AH7" s="1" t="s">
        <v>30</v>
      </c>
      <c r="AI7" s="1" t="s">
        <v>18</v>
      </c>
      <c r="AJ7" s="1" t="s">
        <v>19</v>
      </c>
      <c r="AK7" s="1" t="s">
        <v>43</v>
      </c>
      <c r="AL7" s="1" t="s">
        <v>21</v>
      </c>
      <c r="AM7" s="1">
        <v>4</v>
      </c>
      <c r="AN7" s="1">
        <v>750.74</v>
      </c>
      <c r="AO7" s="1">
        <v>5</v>
      </c>
      <c r="AP7" s="1">
        <v>2852.81</v>
      </c>
      <c r="AQ7" s="1">
        <v>142.6405</v>
      </c>
      <c r="AR7" s="1">
        <v>2710.1695</v>
      </c>
      <c r="AS7" s="1" t="s">
        <v>86</v>
      </c>
      <c r="AT7" s="1" t="s">
        <v>86</v>
      </c>
      <c r="AU7" s="10" t="s">
        <v>86</v>
      </c>
      <c r="AV7" s="1">
        <v>3002.96</v>
      </c>
    </row>
    <row r="8" spans="1:48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1363.6890000000001</v>
      </c>
      <c r="Q8" s="1">
        <f t="shared" si="1"/>
        <v>12273.200999999999</v>
      </c>
      <c r="R8" s="1" t="str">
        <f t="shared" si="2"/>
        <v>high</v>
      </c>
      <c r="S8" s="1" t="str" cm="1">
        <f t="array" ref="S8">_xlfn.IFS(L8&gt;5,"high",L8=5,"medium",L8&lt;5,"low")</f>
        <v>medium</v>
      </c>
      <c r="T8" s="10" t="str">
        <f t="shared" si="3"/>
        <v>medium</v>
      </c>
      <c r="U8" s="1">
        <f t="shared" si="4"/>
        <v>15152.1</v>
      </c>
      <c r="AB8" s="1">
        <v>10040</v>
      </c>
      <c r="AC8" s="1">
        <v>1474</v>
      </c>
      <c r="AD8" s="2">
        <v>45274</v>
      </c>
      <c r="AE8" s="2">
        <v>45277</v>
      </c>
      <c r="AF8" s="1" t="s">
        <v>15</v>
      </c>
      <c r="AG8" s="1" t="s">
        <v>16</v>
      </c>
      <c r="AH8" s="1" t="s">
        <v>30</v>
      </c>
      <c r="AI8" s="1" t="s">
        <v>35</v>
      </c>
      <c r="AJ8" s="1" t="s">
        <v>26</v>
      </c>
      <c r="AK8" s="1" t="s">
        <v>27</v>
      </c>
      <c r="AL8" s="1" t="s">
        <v>28</v>
      </c>
      <c r="AM8" s="1">
        <v>6</v>
      </c>
      <c r="AN8" s="1">
        <v>3083.25</v>
      </c>
      <c r="AO8" s="1">
        <v>10</v>
      </c>
      <c r="AP8" s="1">
        <v>16649.55</v>
      </c>
      <c r="AQ8" s="1">
        <v>1664.9549999999999</v>
      </c>
      <c r="AR8" s="1">
        <v>14984.594999999999</v>
      </c>
      <c r="AS8" s="1" t="s">
        <v>84</v>
      </c>
      <c r="AT8" s="1" t="s">
        <v>84</v>
      </c>
      <c r="AU8" s="10" t="s">
        <v>84</v>
      </c>
      <c r="AV8" s="1">
        <v>18499.5</v>
      </c>
    </row>
    <row r="9" spans="1:48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831.899</v>
      </c>
      <c r="Q9" s="1">
        <f t="shared" si="1"/>
        <v>7487.0909999999994</v>
      </c>
      <c r="R9" s="1" t="str">
        <f t="shared" si="2"/>
        <v>low</v>
      </c>
      <c r="S9" s="1" t="str" cm="1">
        <f t="array" ref="S9">_xlfn.IFS(L9&gt;5,"high",L9=5,"medium",L9&lt;5,"low")</f>
        <v>low</v>
      </c>
      <c r="T9" s="10" t="str">
        <f t="shared" si="3"/>
        <v>low</v>
      </c>
      <c r="U9" s="1">
        <f t="shared" si="4"/>
        <v>9243.32</v>
      </c>
      <c r="AB9" s="1">
        <v>10042</v>
      </c>
      <c r="AC9" s="1">
        <v>1510</v>
      </c>
      <c r="AD9" s="2">
        <v>45195</v>
      </c>
      <c r="AE9" s="2">
        <v>45204</v>
      </c>
      <c r="AF9" s="1" t="s">
        <v>15</v>
      </c>
      <c r="AG9" s="1" t="s">
        <v>54</v>
      </c>
      <c r="AH9" s="1" t="s">
        <v>24</v>
      </c>
      <c r="AI9" s="1" t="s">
        <v>35</v>
      </c>
      <c r="AJ9" s="1" t="s">
        <v>26</v>
      </c>
      <c r="AK9" s="1" t="s">
        <v>27</v>
      </c>
      <c r="AL9" s="1" t="s">
        <v>33</v>
      </c>
      <c r="AM9" s="1">
        <v>4</v>
      </c>
      <c r="AN9" s="1">
        <v>1211.67</v>
      </c>
      <c r="AO9" s="1">
        <v>20</v>
      </c>
      <c r="AP9" s="1">
        <v>3877.34</v>
      </c>
      <c r="AQ9" s="1">
        <v>775.46800000000007</v>
      </c>
      <c r="AR9" s="1">
        <v>3101.8720000000003</v>
      </c>
      <c r="AS9" s="1" t="s">
        <v>86</v>
      </c>
      <c r="AT9" s="1" t="s">
        <v>86</v>
      </c>
      <c r="AU9" s="10" t="s">
        <v>86</v>
      </c>
      <c r="AV9" s="1">
        <v>4846.68</v>
      </c>
    </row>
    <row r="10" spans="1:48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700.00049999999999</v>
      </c>
      <c r="Q10" s="1">
        <f t="shared" si="1"/>
        <v>3966.6695</v>
      </c>
      <c r="R10" s="1" t="str">
        <f t="shared" si="2"/>
        <v>high</v>
      </c>
      <c r="S10" s="1" t="str" cm="1">
        <f t="array" ref="S10">_xlfn.IFS(L10&gt;5,"high",L10=5,"medium",L10&lt;5,"low")</f>
        <v>medium</v>
      </c>
      <c r="T10" s="10" t="str">
        <f t="shared" si="3"/>
        <v>medium</v>
      </c>
      <c r="U10" s="1">
        <f t="shared" si="4"/>
        <v>5490.2</v>
      </c>
      <c r="AB10" s="1">
        <v>10065</v>
      </c>
      <c r="AC10" s="1">
        <v>1273</v>
      </c>
      <c r="AD10" s="2">
        <v>45054</v>
      </c>
      <c r="AE10" s="2">
        <v>45058</v>
      </c>
      <c r="AF10" s="1" t="s">
        <v>15</v>
      </c>
      <c r="AG10" s="1" t="s">
        <v>38</v>
      </c>
      <c r="AH10" s="1" t="s">
        <v>17</v>
      </c>
      <c r="AI10" s="1" t="s">
        <v>42</v>
      </c>
      <c r="AJ10" s="1" t="s">
        <v>19</v>
      </c>
      <c r="AK10" s="1" t="s">
        <v>43</v>
      </c>
      <c r="AL10" s="1" t="s">
        <v>45</v>
      </c>
      <c r="AM10" s="1">
        <v>2</v>
      </c>
      <c r="AN10" s="1">
        <v>2773.21</v>
      </c>
      <c r="AO10" s="1">
        <v>10</v>
      </c>
      <c r="AP10" s="1">
        <v>4991.78</v>
      </c>
      <c r="AQ10" s="1">
        <v>499.178</v>
      </c>
      <c r="AR10" s="1">
        <v>4492.6019999999999</v>
      </c>
      <c r="AS10" s="1" t="s">
        <v>86</v>
      </c>
      <c r="AT10" s="1" t="s">
        <v>86</v>
      </c>
      <c r="AU10" s="10" t="s">
        <v>86</v>
      </c>
      <c r="AV10" s="1">
        <v>5546.42</v>
      </c>
    </row>
    <row r="11" spans="1:48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1424.5280000000002</v>
      </c>
      <c r="Q11" s="1">
        <f t="shared" si="1"/>
        <v>5698.1120000000001</v>
      </c>
      <c r="R11" s="1" t="str">
        <f t="shared" si="2"/>
        <v>high</v>
      </c>
      <c r="S11" s="1" t="str" cm="1">
        <f t="array" ref="S11">_xlfn.IFS(L11&gt;5,"high",L11=5,"medium",L11&lt;5,"low")</f>
        <v>medium</v>
      </c>
      <c r="T11" s="10" t="str">
        <f t="shared" si="3"/>
        <v>medium</v>
      </c>
      <c r="U11" s="1">
        <f t="shared" si="4"/>
        <v>8903.3000000000011</v>
      </c>
      <c r="AB11" s="1">
        <v>10066</v>
      </c>
      <c r="AC11" s="1">
        <v>1387</v>
      </c>
      <c r="AD11" s="2">
        <v>45155</v>
      </c>
      <c r="AE11" s="2">
        <v>45158</v>
      </c>
      <c r="AF11" s="1" t="s">
        <v>15</v>
      </c>
      <c r="AG11" s="1" t="s">
        <v>23</v>
      </c>
      <c r="AH11" s="1" t="s">
        <v>17</v>
      </c>
      <c r="AI11" s="1" t="s">
        <v>35</v>
      </c>
      <c r="AJ11" s="1" t="s">
        <v>57</v>
      </c>
      <c r="AK11" s="1" t="s">
        <v>67</v>
      </c>
      <c r="AL11" s="1" t="s">
        <v>45</v>
      </c>
      <c r="AM11" s="1">
        <v>8</v>
      </c>
      <c r="AN11" s="1">
        <v>3769.71</v>
      </c>
      <c r="AO11" s="1">
        <v>5</v>
      </c>
      <c r="AP11" s="1">
        <v>28649.8</v>
      </c>
      <c r="AQ11" s="1">
        <v>1432.49</v>
      </c>
      <c r="AR11" s="1">
        <v>27217.309999999998</v>
      </c>
      <c r="AS11" s="1" t="s">
        <v>84</v>
      </c>
      <c r="AT11" s="1" t="s">
        <v>84</v>
      </c>
      <c r="AU11" s="10" t="s">
        <v>84</v>
      </c>
      <c r="AV11" s="1">
        <v>30157.68</v>
      </c>
    </row>
    <row r="12" spans="1:48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0</v>
      </c>
      <c r="Q12" s="1">
        <f t="shared" si="1"/>
        <v>19231.5</v>
      </c>
      <c r="R12" s="1" t="str">
        <f t="shared" si="2"/>
        <v>high</v>
      </c>
      <c r="S12" s="1" t="str" cm="1">
        <f t="array" ref="S12">_xlfn.IFS(L12&gt;5,"high",L12=5,"medium",L12&lt;5,"low")</f>
        <v>high</v>
      </c>
      <c r="T12" s="10" t="str">
        <f t="shared" si="3"/>
        <v>high</v>
      </c>
      <c r="U12" s="1">
        <f t="shared" si="4"/>
        <v>19231.5</v>
      </c>
      <c r="AB12" s="1">
        <v>10069</v>
      </c>
      <c r="AC12" s="1">
        <v>1013</v>
      </c>
      <c r="AD12" s="2">
        <v>45288</v>
      </c>
      <c r="AE12" s="2">
        <v>45296</v>
      </c>
      <c r="AF12" s="1" t="s">
        <v>15</v>
      </c>
      <c r="AG12" s="1" t="s">
        <v>23</v>
      </c>
      <c r="AH12" s="1" t="s">
        <v>17</v>
      </c>
      <c r="AI12" s="1" t="s">
        <v>44</v>
      </c>
      <c r="AJ12" s="1" t="s">
        <v>57</v>
      </c>
      <c r="AK12" s="1" t="s">
        <v>62</v>
      </c>
      <c r="AL12" s="1" t="s">
        <v>33</v>
      </c>
      <c r="AM12" s="1">
        <v>6</v>
      </c>
      <c r="AN12" s="1">
        <v>1836.98</v>
      </c>
      <c r="AO12" s="1">
        <v>5</v>
      </c>
      <c r="AP12" s="1">
        <v>10470.790000000001</v>
      </c>
      <c r="AQ12" s="1">
        <v>523.53950000000009</v>
      </c>
      <c r="AR12" s="1">
        <v>9947.2505000000001</v>
      </c>
      <c r="AS12" s="1" t="s">
        <v>84</v>
      </c>
      <c r="AT12" s="1" t="s">
        <v>84</v>
      </c>
      <c r="AU12" s="10" t="s">
        <v>84</v>
      </c>
      <c r="AV12" s="1">
        <v>11021.880000000001</v>
      </c>
    </row>
    <row r="13" spans="1:48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77.619500000000016</v>
      </c>
      <c r="Q13" s="1">
        <f t="shared" si="1"/>
        <v>1474.7705000000001</v>
      </c>
      <c r="R13" s="1" t="str">
        <f t="shared" si="2"/>
        <v>high</v>
      </c>
      <c r="S13" s="1" t="str" cm="1">
        <f t="array" ref="S13">_xlfn.IFS(L13&gt;5,"high",L13=5,"medium",L13&lt;5,"low")</f>
        <v>high</v>
      </c>
      <c r="T13" s="10" t="str">
        <f t="shared" si="3"/>
        <v>high</v>
      </c>
      <c r="U13" s="1">
        <f t="shared" si="4"/>
        <v>1634.1000000000001</v>
      </c>
      <c r="AB13" s="1">
        <v>10071</v>
      </c>
      <c r="AC13" s="1">
        <v>1776</v>
      </c>
      <c r="AD13" s="2">
        <v>45070</v>
      </c>
      <c r="AE13" s="2">
        <v>45078</v>
      </c>
      <c r="AF13" s="1" t="s">
        <v>15</v>
      </c>
      <c r="AG13" s="1" t="s">
        <v>29</v>
      </c>
      <c r="AH13" s="1" t="s">
        <v>17</v>
      </c>
      <c r="AI13" s="1" t="s">
        <v>18</v>
      </c>
      <c r="AJ13" s="1" t="s">
        <v>26</v>
      </c>
      <c r="AK13" s="1" t="s">
        <v>61</v>
      </c>
      <c r="AL13" s="1" t="s">
        <v>47</v>
      </c>
      <c r="AM13" s="1">
        <v>3</v>
      </c>
      <c r="AN13" s="1">
        <v>3854.71</v>
      </c>
      <c r="AO13" s="1">
        <v>5</v>
      </c>
      <c r="AP13" s="1">
        <v>10985.92</v>
      </c>
      <c r="AQ13" s="1">
        <v>549.29600000000005</v>
      </c>
      <c r="AR13" s="1">
        <v>10436.624</v>
      </c>
      <c r="AS13" s="1" t="s">
        <v>86</v>
      </c>
      <c r="AT13" s="1" t="s">
        <v>86</v>
      </c>
      <c r="AU13" s="10" t="s">
        <v>86</v>
      </c>
      <c r="AV13" s="1">
        <v>11564.130000000001</v>
      </c>
    </row>
    <row r="14" spans="1:48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0</v>
      </c>
      <c r="Q14" s="1">
        <f t="shared" si="1"/>
        <v>25287.200000000001</v>
      </c>
      <c r="R14" s="1" t="str">
        <f t="shared" si="2"/>
        <v>high</v>
      </c>
      <c r="S14" s="1" t="str" cm="1">
        <f t="array" ref="S14">_xlfn.IFS(L14&gt;5,"high",L14=5,"medium",L14&lt;5,"low")</f>
        <v>high</v>
      </c>
      <c r="T14" s="10" t="str">
        <f t="shared" si="3"/>
        <v>high</v>
      </c>
      <c r="U14" s="1">
        <f t="shared" si="4"/>
        <v>25287.200000000001</v>
      </c>
      <c r="AB14" s="1">
        <v>10080</v>
      </c>
      <c r="AC14" s="1">
        <v>1427</v>
      </c>
      <c r="AD14" s="2">
        <v>45288</v>
      </c>
      <c r="AE14" s="2">
        <v>45293</v>
      </c>
      <c r="AF14" s="1" t="s">
        <v>15</v>
      </c>
      <c r="AG14" s="1" t="s">
        <v>54</v>
      </c>
      <c r="AH14" s="1" t="s">
        <v>17</v>
      </c>
      <c r="AI14" s="1" t="s">
        <v>25</v>
      </c>
      <c r="AJ14" s="1" t="s">
        <v>52</v>
      </c>
      <c r="AK14" s="1" t="s">
        <v>56</v>
      </c>
      <c r="AL14" s="1" t="s">
        <v>28</v>
      </c>
      <c r="AM14" s="1">
        <v>3</v>
      </c>
      <c r="AN14" s="1">
        <v>262.25</v>
      </c>
      <c r="AO14" s="1">
        <v>10</v>
      </c>
      <c r="AP14" s="1">
        <v>708.07</v>
      </c>
      <c r="AQ14" s="1">
        <v>70.807000000000002</v>
      </c>
      <c r="AR14" s="1">
        <v>637.26300000000003</v>
      </c>
      <c r="AS14" s="1" t="s">
        <v>86</v>
      </c>
      <c r="AT14" s="1" t="s">
        <v>86</v>
      </c>
      <c r="AU14" s="10" t="s">
        <v>86</v>
      </c>
      <c r="AV14" s="1">
        <v>786.75</v>
      </c>
    </row>
    <row r="15" spans="1:48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1095.7559999999999</v>
      </c>
      <c r="Q15" s="1">
        <f t="shared" si="1"/>
        <v>6209.2839999999997</v>
      </c>
      <c r="R15" s="1" t="str">
        <f t="shared" si="2"/>
        <v>high</v>
      </c>
      <c r="S15" s="1" t="str" cm="1">
        <f t="array" ref="S15">_xlfn.IFS(L15&gt;5,"high",L15=5,"medium",L15&lt;5,"low")</f>
        <v>high</v>
      </c>
      <c r="T15" s="10" t="str">
        <f t="shared" si="3"/>
        <v>high</v>
      </c>
      <c r="U15" s="1">
        <f t="shared" si="4"/>
        <v>8594.16</v>
      </c>
      <c r="AB15" s="1">
        <v>10108</v>
      </c>
      <c r="AC15" s="1">
        <v>1815</v>
      </c>
      <c r="AD15" s="2">
        <v>45037</v>
      </c>
      <c r="AE15" s="2">
        <v>45045</v>
      </c>
      <c r="AF15" s="1" t="s">
        <v>15</v>
      </c>
      <c r="AG15" s="1" t="s">
        <v>29</v>
      </c>
      <c r="AH15" s="1" t="s">
        <v>24</v>
      </c>
      <c r="AI15" s="1" t="s">
        <v>18</v>
      </c>
      <c r="AJ15" s="1" t="s">
        <v>26</v>
      </c>
      <c r="AK15" s="1" t="s">
        <v>36</v>
      </c>
      <c r="AL15" s="1" t="s">
        <v>21</v>
      </c>
      <c r="AM15" s="1">
        <v>2</v>
      </c>
      <c r="AN15" s="1">
        <v>564.30999999999995</v>
      </c>
      <c r="AO15" s="1">
        <v>15</v>
      </c>
      <c r="AP15" s="1">
        <v>959.33</v>
      </c>
      <c r="AQ15" s="1">
        <v>143.89949999999999</v>
      </c>
      <c r="AR15" s="1">
        <v>815.43050000000005</v>
      </c>
      <c r="AS15" s="1" t="s">
        <v>86</v>
      </c>
      <c r="AT15" s="1" t="s">
        <v>86</v>
      </c>
      <c r="AU15" s="10" t="s">
        <v>86</v>
      </c>
      <c r="AV15" s="1">
        <v>1128.6199999999999</v>
      </c>
    </row>
    <row r="16" spans="1:48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571.52800000000002</v>
      </c>
      <c r="Q16" s="1">
        <f t="shared" si="1"/>
        <v>5143.7519999999995</v>
      </c>
      <c r="R16" s="1" t="str">
        <f t="shared" si="2"/>
        <v>high</v>
      </c>
      <c r="S16" s="1" t="str" cm="1">
        <f t="array" ref="S16">_xlfn.IFS(L16&gt;5,"high",L16=5,"medium",L16&lt;5,"low")</f>
        <v>high</v>
      </c>
      <c r="T16" s="10" t="str">
        <f t="shared" si="3"/>
        <v>high</v>
      </c>
      <c r="U16" s="1">
        <f t="shared" si="4"/>
        <v>6350.31</v>
      </c>
      <c r="AB16" s="1">
        <v>10111</v>
      </c>
      <c r="AC16" s="1">
        <v>1461</v>
      </c>
      <c r="AD16" s="2">
        <v>44950</v>
      </c>
      <c r="AE16" s="2">
        <v>44959</v>
      </c>
      <c r="AF16" s="1" t="s">
        <v>15</v>
      </c>
      <c r="AG16" s="1" t="s">
        <v>54</v>
      </c>
      <c r="AH16" s="1" t="s">
        <v>30</v>
      </c>
      <c r="AI16" s="1" t="s">
        <v>35</v>
      </c>
      <c r="AJ16" s="1" t="s">
        <v>49</v>
      </c>
      <c r="AK16" s="1" t="s">
        <v>68</v>
      </c>
      <c r="AL16" s="1" t="s">
        <v>33</v>
      </c>
      <c r="AM16" s="1">
        <v>1</v>
      </c>
      <c r="AN16" s="1">
        <v>1820.02</v>
      </c>
      <c r="AO16" s="1">
        <v>10</v>
      </c>
      <c r="AP16" s="1">
        <v>1638.02</v>
      </c>
      <c r="AQ16" s="1">
        <v>163.80200000000002</v>
      </c>
      <c r="AR16" s="1">
        <v>1474.2179999999998</v>
      </c>
      <c r="AS16" s="1" t="s">
        <v>86</v>
      </c>
      <c r="AT16" s="1" t="s">
        <v>86</v>
      </c>
      <c r="AU16" s="10" t="s">
        <v>86</v>
      </c>
      <c r="AV16" s="1">
        <v>1820.02</v>
      </c>
    </row>
    <row r="17" spans="1:48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226.27100000000002</v>
      </c>
      <c r="Q17" s="1">
        <f t="shared" si="1"/>
        <v>4299.1490000000003</v>
      </c>
      <c r="R17" s="1" t="str">
        <f t="shared" si="2"/>
        <v>high</v>
      </c>
      <c r="S17" s="1" t="str" cm="1">
        <f t="array" ref="S17">_xlfn.IFS(L17&gt;5,"high",L17=5,"medium",L17&lt;5,"low")</f>
        <v>high</v>
      </c>
      <c r="T17" s="10" t="str">
        <f t="shared" si="3"/>
        <v>high</v>
      </c>
      <c r="U17" s="1">
        <f t="shared" si="4"/>
        <v>4763.6000000000004</v>
      </c>
      <c r="AB17" s="1">
        <v>10130</v>
      </c>
      <c r="AC17" s="1">
        <v>1156</v>
      </c>
      <c r="AD17" s="2">
        <v>44929</v>
      </c>
      <c r="AE17" s="2">
        <v>44938</v>
      </c>
      <c r="AF17" s="1" t="s">
        <v>15</v>
      </c>
      <c r="AG17" s="1" t="s">
        <v>41</v>
      </c>
      <c r="AH17" s="1" t="s">
        <v>17</v>
      </c>
      <c r="AI17" s="1" t="s">
        <v>42</v>
      </c>
      <c r="AJ17" s="1" t="s">
        <v>57</v>
      </c>
      <c r="AK17" s="1" t="s">
        <v>62</v>
      </c>
      <c r="AL17" s="1" t="s">
        <v>33</v>
      </c>
      <c r="AM17" s="1">
        <v>1</v>
      </c>
      <c r="AN17" s="1">
        <v>2534.4699999999998</v>
      </c>
      <c r="AO17" s="1">
        <v>5</v>
      </c>
      <c r="AP17" s="1">
        <v>2407.75</v>
      </c>
      <c r="AQ17" s="1">
        <v>120.3875</v>
      </c>
      <c r="AR17" s="1">
        <v>2287.3625000000002</v>
      </c>
      <c r="AS17" s="1" t="s">
        <v>86</v>
      </c>
      <c r="AT17" s="1" t="s">
        <v>86</v>
      </c>
      <c r="AU17" s="10" t="s">
        <v>86</v>
      </c>
      <c r="AV17" s="1">
        <v>2534.4699999999998</v>
      </c>
    </row>
    <row r="18" spans="1:48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65.002499999999998</v>
      </c>
      <c r="Q18" s="1">
        <f t="shared" si="1"/>
        <v>368.34750000000003</v>
      </c>
      <c r="R18" s="1" t="str">
        <f t="shared" si="2"/>
        <v>low</v>
      </c>
      <c r="S18" s="1" t="str" cm="1">
        <f t="array" ref="S18">_xlfn.IFS(L18&gt;5,"high",L18=5,"medium",L18&lt;5,"low")</f>
        <v>low</v>
      </c>
      <c r="T18" s="10" t="str">
        <f t="shared" si="3"/>
        <v>low</v>
      </c>
      <c r="U18" s="1">
        <f t="shared" si="4"/>
        <v>509.82</v>
      </c>
      <c r="AB18" s="1">
        <v>10171</v>
      </c>
      <c r="AC18" s="1">
        <v>1986</v>
      </c>
      <c r="AD18" s="2">
        <v>45227</v>
      </c>
      <c r="AE18" s="2">
        <v>45228</v>
      </c>
      <c r="AF18" s="1" t="s">
        <v>15</v>
      </c>
      <c r="AG18" s="1" t="s">
        <v>41</v>
      </c>
      <c r="AH18" s="1" t="s">
        <v>24</v>
      </c>
      <c r="AI18" s="1" t="s">
        <v>18</v>
      </c>
      <c r="AJ18" s="1" t="s">
        <v>19</v>
      </c>
      <c r="AK18" s="1" t="s">
        <v>43</v>
      </c>
      <c r="AL18" s="1" t="s">
        <v>21</v>
      </c>
      <c r="AM18" s="1">
        <v>8</v>
      </c>
      <c r="AN18" s="1">
        <v>3795.01</v>
      </c>
      <c r="AO18" s="1">
        <v>5</v>
      </c>
      <c r="AP18" s="1">
        <v>28842.080000000002</v>
      </c>
      <c r="AQ18" s="1">
        <v>1442.1040000000003</v>
      </c>
      <c r="AR18" s="1">
        <v>27399.976000000002</v>
      </c>
      <c r="AS18" s="1" t="s">
        <v>84</v>
      </c>
      <c r="AT18" s="1" t="s">
        <v>84</v>
      </c>
      <c r="AU18" s="10" t="s">
        <v>84</v>
      </c>
      <c r="AV18" s="1">
        <v>30360.080000000002</v>
      </c>
    </row>
    <row r="19" spans="1:48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276.14100000000002</v>
      </c>
      <c r="Q19" s="1">
        <f t="shared" si="1"/>
        <v>1564.799</v>
      </c>
      <c r="R19" s="1" t="str">
        <f t="shared" si="2"/>
        <v>low</v>
      </c>
      <c r="S19" s="1" t="str" cm="1">
        <f t="array" ref="S19">_xlfn.IFS(L19&gt;5,"high",L19=5,"medium",L19&lt;5,"low")</f>
        <v>low</v>
      </c>
      <c r="T19" s="10" t="str">
        <f t="shared" si="3"/>
        <v>low</v>
      </c>
      <c r="U19" s="1">
        <f t="shared" si="4"/>
        <v>2165.81</v>
      </c>
      <c r="AB19" s="1">
        <v>10173</v>
      </c>
      <c r="AC19" s="1">
        <v>1960</v>
      </c>
      <c r="AD19" s="2">
        <v>45124</v>
      </c>
      <c r="AE19" s="2">
        <v>45127</v>
      </c>
      <c r="AF19" s="1" t="s">
        <v>15</v>
      </c>
      <c r="AG19" s="1" t="s">
        <v>38</v>
      </c>
      <c r="AH19" s="1" t="s">
        <v>24</v>
      </c>
      <c r="AI19" s="1" t="s">
        <v>42</v>
      </c>
      <c r="AJ19" s="1" t="s">
        <v>31</v>
      </c>
      <c r="AK19" s="1" t="s">
        <v>65</v>
      </c>
      <c r="AL19" s="1" t="s">
        <v>28</v>
      </c>
      <c r="AM19" s="1">
        <v>3</v>
      </c>
      <c r="AN19" s="1">
        <v>1357.77</v>
      </c>
      <c r="AO19" s="1">
        <v>5</v>
      </c>
      <c r="AP19" s="1">
        <v>3869.64</v>
      </c>
      <c r="AQ19" s="1">
        <v>193.482</v>
      </c>
      <c r="AR19" s="1">
        <v>3676.1579999999999</v>
      </c>
      <c r="AS19" s="1" t="s">
        <v>86</v>
      </c>
      <c r="AT19" s="1" t="s">
        <v>86</v>
      </c>
      <c r="AU19" s="10" t="s">
        <v>86</v>
      </c>
      <c r="AV19" s="1">
        <v>4073.31</v>
      </c>
    </row>
    <row r="20" spans="1:48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252.5265</v>
      </c>
      <c r="Q20" s="1">
        <f t="shared" si="1"/>
        <v>1430.9835</v>
      </c>
      <c r="R20" s="1" t="str">
        <f t="shared" si="2"/>
        <v>low</v>
      </c>
      <c r="S20" s="1" t="str" cm="1">
        <f t="array" ref="S20">_xlfn.IFS(L20&gt;5,"high",L20=5,"medium",L20&lt;5,"low")</f>
        <v>low</v>
      </c>
      <c r="T20" s="10" t="str">
        <f t="shared" si="3"/>
        <v>low</v>
      </c>
      <c r="U20" s="1">
        <f t="shared" si="4"/>
        <v>1980.6</v>
      </c>
      <c r="AB20" s="1">
        <v>10180</v>
      </c>
      <c r="AC20" s="1">
        <v>1004</v>
      </c>
      <c r="AD20" s="2">
        <v>45004</v>
      </c>
      <c r="AE20" s="2">
        <v>45006</v>
      </c>
      <c r="AF20" s="1" t="s">
        <v>15</v>
      </c>
      <c r="AG20" s="1" t="s">
        <v>29</v>
      </c>
      <c r="AH20" s="1" t="s">
        <v>17</v>
      </c>
      <c r="AI20" s="1" t="s">
        <v>35</v>
      </c>
      <c r="AJ20" s="1" t="s">
        <v>19</v>
      </c>
      <c r="AK20" s="1" t="s">
        <v>43</v>
      </c>
      <c r="AL20" s="1" t="s">
        <v>45</v>
      </c>
      <c r="AM20" s="1">
        <v>8</v>
      </c>
      <c r="AN20" s="1">
        <v>2211.17</v>
      </c>
      <c r="AO20" s="1">
        <v>10</v>
      </c>
      <c r="AP20" s="1">
        <v>15920.42</v>
      </c>
      <c r="AQ20" s="1">
        <v>1592.0420000000001</v>
      </c>
      <c r="AR20" s="1">
        <v>14328.378000000001</v>
      </c>
      <c r="AS20" s="1" t="s">
        <v>84</v>
      </c>
      <c r="AT20" s="1" t="s">
        <v>84</v>
      </c>
      <c r="AU20" s="10" t="s">
        <v>84</v>
      </c>
      <c r="AV20" s="1">
        <v>17689.36</v>
      </c>
    </row>
    <row r="21" spans="1:48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376.1345</v>
      </c>
      <c r="Q21" s="1">
        <f t="shared" si="1"/>
        <v>7146.5554999999995</v>
      </c>
      <c r="R21" s="1" t="str">
        <f t="shared" si="2"/>
        <v>low</v>
      </c>
      <c r="S21" s="1" t="str" cm="1">
        <f t="array" ref="S21">_xlfn.IFS(L21&gt;5,"high",L21=5,"medium",L21&lt;5,"low")</f>
        <v>low</v>
      </c>
      <c r="T21" s="10" t="str">
        <f t="shared" si="3"/>
        <v>low</v>
      </c>
      <c r="U21" s="1">
        <f t="shared" si="4"/>
        <v>7918.62</v>
      </c>
      <c r="AB21" s="1">
        <v>10181</v>
      </c>
      <c r="AC21" s="1">
        <v>1217</v>
      </c>
      <c r="AD21" s="2">
        <v>45050</v>
      </c>
      <c r="AE21" s="2">
        <v>45053</v>
      </c>
      <c r="AF21" s="1" t="s">
        <v>15</v>
      </c>
      <c r="AG21" s="1" t="s">
        <v>23</v>
      </c>
      <c r="AH21" s="1" t="s">
        <v>17</v>
      </c>
      <c r="AI21" s="1" t="s">
        <v>42</v>
      </c>
      <c r="AJ21" s="1" t="s">
        <v>49</v>
      </c>
      <c r="AK21" s="1" t="s">
        <v>50</v>
      </c>
      <c r="AL21" s="1" t="s">
        <v>33</v>
      </c>
      <c r="AM21" s="1">
        <v>5</v>
      </c>
      <c r="AN21" s="1">
        <v>2329.38</v>
      </c>
      <c r="AO21" s="1">
        <v>20</v>
      </c>
      <c r="AP21" s="1">
        <v>9317.52</v>
      </c>
      <c r="AQ21" s="1">
        <v>1863.5040000000001</v>
      </c>
      <c r="AR21" s="1">
        <v>7454.0160000000005</v>
      </c>
      <c r="AS21" s="1" t="s">
        <v>84</v>
      </c>
      <c r="AT21" s="1" t="s">
        <v>85</v>
      </c>
      <c r="AU21" s="10" t="s">
        <v>85</v>
      </c>
      <c r="AV21" s="1">
        <v>11646.900000000001</v>
      </c>
    </row>
    <row r="22" spans="1:48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336.52500000000003</v>
      </c>
      <c r="Q22" s="1">
        <f t="shared" si="1"/>
        <v>6393.9750000000004</v>
      </c>
      <c r="R22" s="1" t="str">
        <f t="shared" si="2"/>
        <v>low</v>
      </c>
      <c r="S22" s="1" t="str" cm="1">
        <f t="array" ref="S22">_xlfn.IFS(L22&gt;5,"high",L22=5,"medium",L22&lt;5,"low")</f>
        <v>low</v>
      </c>
      <c r="T22" s="10" t="str">
        <f t="shared" si="3"/>
        <v>low</v>
      </c>
      <c r="U22" s="1">
        <f t="shared" si="4"/>
        <v>7084.74</v>
      </c>
      <c r="AB22" s="1">
        <v>10183</v>
      </c>
      <c r="AC22" s="1">
        <v>1766</v>
      </c>
      <c r="AD22" s="2">
        <v>45285</v>
      </c>
      <c r="AE22" s="2">
        <v>45294</v>
      </c>
      <c r="AF22" s="1" t="s">
        <v>15</v>
      </c>
      <c r="AG22" s="1" t="s">
        <v>23</v>
      </c>
      <c r="AH22" s="1" t="s">
        <v>30</v>
      </c>
      <c r="AI22" s="1" t="s">
        <v>18</v>
      </c>
      <c r="AJ22" s="1" t="s">
        <v>31</v>
      </c>
      <c r="AK22" s="1" t="s">
        <v>39</v>
      </c>
      <c r="AL22" s="1" t="s">
        <v>47</v>
      </c>
      <c r="AM22" s="1">
        <v>7</v>
      </c>
      <c r="AN22" s="1">
        <v>658.07</v>
      </c>
      <c r="AO22" s="1">
        <v>20</v>
      </c>
      <c r="AP22" s="1">
        <v>3685.19</v>
      </c>
      <c r="AQ22" s="1">
        <v>737.03800000000001</v>
      </c>
      <c r="AR22" s="1">
        <v>2948.152</v>
      </c>
      <c r="AS22" s="1" t="s">
        <v>84</v>
      </c>
      <c r="AT22" s="1" t="s">
        <v>84</v>
      </c>
      <c r="AU22" s="10" t="s">
        <v>84</v>
      </c>
      <c r="AV22" s="1">
        <v>4606.4900000000007</v>
      </c>
    </row>
    <row r="23" spans="1:48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762.56400000000008</v>
      </c>
      <c r="Q23" s="1">
        <f t="shared" si="1"/>
        <v>3050.2560000000003</v>
      </c>
      <c r="R23" s="1" t="str">
        <f t="shared" si="2"/>
        <v>high</v>
      </c>
      <c r="S23" s="1" t="str" cm="1">
        <f t="array" ref="S23">_xlfn.IFS(L23&gt;5,"high",L23=5,"medium",L23&lt;5,"low")</f>
        <v>high</v>
      </c>
      <c r="T23" s="10" t="str">
        <f t="shared" si="3"/>
        <v>high</v>
      </c>
      <c r="U23" s="1">
        <f t="shared" si="4"/>
        <v>4766.0200000000004</v>
      </c>
      <c r="AB23" s="1">
        <v>10192</v>
      </c>
      <c r="AC23" s="1">
        <v>1891</v>
      </c>
      <c r="AD23" s="2">
        <v>45039</v>
      </c>
      <c r="AE23" s="2">
        <v>45042</v>
      </c>
      <c r="AF23" s="1" t="s">
        <v>15</v>
      </c>
      <c r="AG23" s="1" t="s">
        <v>29</v>
      </c>
      <c r="AH23" s="1" t="s">
        <v>30</v>
      </c>
      <c r="AI23" s="1" t="s">
        <v>35</v>
      </c>
      <c r="AJ23" s="1" t="s">
        <v>52</v>
      </c>
      <c r="AK23" s="1" t="s">
        <v>60</v>
      </c>
      <c r="AL23" s="1" t="s">
        <v>21</v>
      </c>
      <c r="AM23" s="1">
        <v>2</v>
      </c>
      <c r="AN23" s="1">
        <v>487.23</v>
      </c>
      <c r="AO23" s="1">
        <v>15</v>
      </c>
      <c r="AP23" s="1">
        <v>828.29</v>
      </c>
      <c r="AQ23" s="1">
        <v>124.24349999999998</v>
      </c>
      <c r="AR23" s="1">
        <v>704.04649999999992</v>
      </c>
      <c r="AS23" s="1" t="s">
        <v>86</v>
      </c>
      <c r="AT23" s="1" t="s">
        <v>86</v>
      </c>
      <c r="AU23" s="10" t="s">
        <v>86</v>
      </c>
      <c r="AV23" s="1">
        <v>974.46</v>
      </c>
    </row>
    <row r="24" spans="1:48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896.55600000000004</v>
      </c>
      <c r="Q24" s="1">
        <f t="shared" si="1"/>
        <v>3586.2239999999997</v>
      </c>
      <c r="R24" s="1" t="str">
        <f t="shared" si="2"/>
        <v>low</v>
      </c>
      <c r="S24" s="1" t="str" cm="1">
        <f t="array" ref="S24">_xlfn.IFS(L24&gt;5,"high",L24=5,"medium",L24&lt;5,"low")</f>
        <v>low</v>
      </c>
      <c r="T24" s="10" t="str">
        <f t="shared" si="3"/>
        <v>low</v>
      </c>
      <c r="U24" s="1">
        <f t="shared" si="4"/>
        <v>5603.48</v>
      </c>
      <c r="AB24" s="1">
        <v>10200</v>
      </c>
      <c r="AC24" s="1">
        <v>1095</v>
      </c>
      <c r="AD24" s="2">
        <v>45171</v>
      </c>
      <c r="AE24" s="2">
        <v>45176</v>
      </c>
      <c r="AF24" s="1" t="s">
        <v>15</v>
      </c>
      <c r="AG24" s="1" t="s">
        <v>29</v>
      </c>
      <c r="AH24" s="1" t="s">
        <v>30</v>
      </c>
      <c r="AI24" s="1" t="s">
        <v>44</v>
      </c>
      <c r="AJ24" s="1" t="s">
        <v>19</v>
      </c>
      <c r="AK24" s="1" t="s">
        <v>66</v>
      </c>
      <c r="AL24" s="1" t="s">
        <v>33</v>
      </c>
      <c r="AM24" s="1">
        <v>3</v>
      </c>
      <c r="AN24" s="1">
        <v>2701.77</v>
      </c>
      <c r="AO24" s="1">
        <v>15</v>
      </c>
      <c r="AP24" s="1">
        <v>6889.51</v>
      </c>
      <c r="AQ24" s="1">
        <v>1033.4265</v>
      </c>
      <c r="AR24" s="1">
        <v>5856.0835000000006</v>
      </c>
      <c r="AS24" s="1" t="s">
        <v>86</v>
      </c>
      <c r="AT24" s="1" t="s">
        <v>86</v>
      </c>
      <c r="AU24" s="10" t="s">
        <v>86</v>
      </c>
      <c r="AV24" s="1">
        <v>8105.3099999999995</v>
      </c>
    </row>
    <row r="25" spans="1:48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0</v>
      </c>
      <c r="Q25" s="1">
        <f t="shared" si="1"/>
        <v>3606.31</v>
      </c>
      <c r="R25" s="1" t="str">
        <f t="shared" si="2"/>
        <v>low</v>
      </c>
      <c r="S25" s="1" t="str" cm="1">
        <f t="array" ref="S25">_xlfn.IFS(L25&gt;5,"high",L25=5,"medium",L25&lt;5,"low")</f>
        <v>low</v>
      </c>
      <c r="T25" s="10" t="str">
        <f t="shared" si="3"/>
        <v>low</v>
      </c>
      <c r="U25" s="1">
        <f t="shared" si="4"/>
        <v>3606.31</v>
      </c>
      <c r="AB25" s="1">
        <v>10201</v>
      </c>
      <c r="AC25" s="1">
        <v>1899</v>
      </c>
      <c r="AD25" s="2">
        <v>44961</v>
      </c>
      <c r="AE25" s="2">
        <v>44966</v>
      </c>
      <c r="AF25" s="1" t="s">
        <v>15</v>
      </c>
      <c r="AG25" s="1" t="s">
        <v>29</v>
      </c>
      <c r="AH25" s="1" t="s">
        <v>30</v>
      </c>
      <c r="AI25" s="1" t="s">
        <v>42</v>
      </c>
      <c r="AJ25" s="1" t="s">
        <v>57</v>
      </c>
      <c r="AK25" s="1" t="s">
        <v>59</v>
      </c>
      <c r="AL25" s="1" t="s">
        <v>28</v>
      </c>
      <c r="AM25" s="1">
        <v>5</v>
      </c>
      <c r="AN25" s="1">
        <v>3501.94</v>
      </c>
      <c r="AO25" s="1">
        <v>20</v>
      </c>
      <c r="AP25" s="1">
        <v>14007.76</v>
      </c>
      <c r="AQ25" s="1">
        <v>2801.5520000000001</v>
      </c>
      <c r="AR25" s="1">
        <v>11206.208000000001</v>
      </c>
      <c r="AS25" s="1" t="s">
        <v>84</v>
      </c>
      <c r="AT25" s="1" t="s">
        <v>85</v>
      </c>
      <c r="AU25" s="10" t="s">
        <v>85</v>
      </c>
      <c r="AV25" s="1">
        <v>17509.7</v>
      </c>
    </row>
    <row r="26" spans="1:48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860.39800000000002</v>
      </c>
      <c r="Q26" s="1">
        <f t="shared" si="1"/>
        <v>16347.562</v>
      </c>
      <c r="R26" s="1" t="str">
        <f t="shared" si="2"/>
        <v>high</v>
      </c>
      <c r="S26" s="1" t="str" cm="1">
        <f t="array" ref="S26">_xlfn.IFS(L26&gt;5,"high",L26=5,"medium",L26&lt;5,"low")</f>
        <v>high</v>
      </c>
      <c r="T26" s="10" t="str">
        <f t="shared" si="3"/>
        <v>high</v>
      </c>
      <c r="U26" s="1">
        <f t="shared" si="4"/>
        <v>18113.64</v>
      </c>
      <c r="AB26" s="1">
        <v>10210</v>
      </c>
      <c r="AC26" s="1">
        <v>1035</v>
      </c>
      <c r="AD26" s="2">
        <v>45282</v>
      </c>
      <c r="AE26" s="2">
        <v>45284</v>
      </c>
      <c r="AF26" s="1" t="s">
        <v>15</v>
      </c>
      <c r="AG26" s="1" t="s">
        <v>54</v>
      </c>
      <c r="AH26" s="1" t="s">
        <v>30</v>
      </c>
      <c r="AI26" s="1" t="s">
        <v>18</v>
      </c>
      <c r="AJ26" s="1" t="s">
        <v>19</v>
      </c>
      <c r="AK26" s="1" t="s">
        <v>20</v>
      </c>
      <c r="AL26" s="1" t="s">
        <v>45</v>
      </c>
      <c r="AM26" s="1">
        <v>8</v>
      </c>
      <c r="AN26" s="1">
        <v>3656.59</v>
      </c>
      <c r="AO26" s="1">
        <v>15</v>
      </c>
      <c r="AP26" s="1">
        <v>24864.81</v>
      </c>
      <c r="AQ26" s="1">
        <v>3729.7215000000001</v>
      </c>
      <c r="AR26" s="1">
        <v>21135.088500000002</v>
      </c>
      <c r="AS26" s="1" t="s">
        <v>84</v>
      </c>
      <c r="AT26" s="1" t="s">
        <v>84</v>
      </c>
      <c r="AU26" s="10" t="s">
        <v>84</v>
      </c>
      <c r="AV26" s="1">
        <v>29252.720000000001</v>
      </c>
    </row>
    <row r="27" spans="1:48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189.934</v>
      </c>
      <c r="Q27" s="1">
        <f t="shared" si="1"/>
        <v>3608.7459999999996</v>
      </c>
      <c r="R27" s="1" t="str">
        <f t="shared" si="2"/>
        <v>high</v>
      </c>
      <c r="S27" s="1" t="str" cm="1">
        <f t="array" ref="S27">_xlfn.IFS(L27&gt;5,"high",L27=5,"medium",L27&lt;5,"low")</f>
        <v>high</v>
      </c>
      <c r="T27" s="10" t="str">
        <f t="shared" si="3"/>
        <v>high</v>
      </c>
      <c r="U27" s="1">
        <f t="shared" si="4"/>
        <v>3998.61</v>
      </c>
      <c r="AB27" s="1">
        <v>10213</v>
      </c>
      <c r="AC27" s="1">
        <v>1838</v>
      </c>
      <c r="AD27" s="2">
        <v>45186</v>
      </c>
      <c r="AE27" s="2">
        <v>45193</v>
      </c>
      <c r="AF27" s="1" t="s">
        <v>15</v>
      </c>
      <c r="AG27" s="1" t="s">
        <v>41</v>
      </c>
      <c r="AH27" s="1" t="s">
        <v>24</v>
      </c>
      <c r="AI27" s="1" t="s">
        <v>42</v>
      </c>
      <c r="AJ27" s="1" t="s">
        <v>49</v>
      </c>
      <c r="AK27" s="1" t="s">
        <v>63</v>
      </c>
      <c r="AL27" s="1" t="s">
        <v>21</v>
      </c>
      <c r="AM27" s="1">
        <v>4</v>
      </c>
      <c r="AN27" s="1">
        <v>1484.25</v>
      </c>
      <c r="AO27" s="1">
        <v>20</v>
      </c>
      <c r="AP27" s="1">
        <v>4749.6000000000004</v>
      </c>
      <c r="AQ27" s="1">
        <v>949.92000000000007</v>
      </c>
      <c r="AR27" s="1">
        <v>3799.6800000000003</v>
      </c>
      <c r="AS27" s="1" t="s">
        <v>86</v>
      </c>
      <c r="AT27" s="1" t="s">
        <v>86</v>
      </c>
      <c r="AU27" s="10" t="s">
        <v>86</v>
      </c>
      <c r="AV27" s="1">
        <v>5937</v>
      </c>
    </row>
    <row r="28" spans="1:48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512.87900000000002</v>
      </c>
      <c r="Q28" s="1">
        <f t="shared" si="1"/>
        <v>9744.7009999999991</v>
      </c>
      <c r="R28" s="1" t="str">
        <f t="shared" si="2"/>
        <v>low</v>
      </c>
      <c r="S28" s="1" t="str" cm="1">
        <f t="array" ref="S28">_xlfn.IFS(L28&gt;5,"high",L28=5,"medium",L28&lt;5,"low")</f>
        <v>low</v>
      </c>
      <c r="T28" s="10" t="str">
        <f t="shared" si="3"/>
        <v>low</v>
      </c>
      <c r="U28" s="1">
        <f t="shared" si="4"/>
        <v>10797.45</v>
      </c>
      <c r="AB28" s="1">
        <v>10215</v>
      </c>
      <c r="AC28" s="1">
        <v>1242</v>
      </c>
      <c r="AD28" s="2">
        <v>45157</v>
      </c>
      <c r="AE28" s="2">
        <v>45162</v>
      </c>
      <c r="AF28" s="1" t="s">
        <v>15</v>
      </c>
      <c r="AG28" s="1" t="s">
        <v>16</v>
      </c>
      <c r="AH28" s="1" t="s">
        <v>17</v>
      </c>
      <c r="AI28" s="1" t="s">
        <v>25</v>
      </c>
      <c r="AJ28" s="1" t="s">
        <v>26</v>
      </c>
      <c r="AK28" s="1" t="s">
        <v>27</v>
      </c>
      <c r="AL28" s="1" t="s">
        <v>21</v>
      </c>
      <c r="AM28" s="1">
        <v>5</v>
      </c>
      <c r="AN28" s="1">
        <v>633.42999999999995</v>
      </c>
      <c r="AO28" s="1">
        <v>20</v>
      </c>
      <c r="AP28" s="1">
        <v>2533.7199999999998</v>
      </c>
      <c r="AQ28" s="1">
        <v>506.74399999999997</v>
      </c>
      <c r="AR28" s="1">
        <v>2026.9759999999999</v>
      </c>
      <c r="AS28" s="1" t="s">
        <v>84</v>
      </c>
      <c r="AT28" s="1" t="s">
        <v>85</v>
      </c>
      <c r="AU28" s="10" t="s">
        <v>85</v>
      </c>
      <c r="AV28" s="1">
        <v>3167.1499999999996</v>
      </c>
    </row>
    <row r="29" spans="1:48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3078.364</v>
      </c>
      <c r="Q29" s="1">
        <f t="shared" si="1"/>
        <v>12313.456</v>
      </c>
      <c r="R29" s="1" t="str">
        <f t="shared" si="2"/>
        <v>high</v>
      </c>
      <c r="S29" s="1" t="str" cm="1">
        <f t="array" ref="S29">_xlfn.IFS(L29&gt;5,"high",L29=5,"medium",L29&lt;5,"low")</f>
        <v>high</v>
      </c>
      <c r="T29" s="10" t="str">
        <f t="shared" si="3"/>
        <v>high</v>
      </c>
      <c r="U29" s="1">
        <f t="shared" si="4"/>
        <v>19239.78</v>
      </c>
      <c r="AB29" s="1">
        <v>10228</v>
      </c>
      <c r="AC29" s="1">
        <v>1339</v>
      </c>
      <c r="AD29" s="2">
        <v>44983</v>
      </c>
      <c r="AE29" s="2">
        <v>44990</v>
      </c>
      <c r="AF29" s="1" t="s">
        <v>15</v>
      </c>
      <c r="AG29" s="1" t="s">
        <v>54</v>
      </c>
      <c r="AH29" s="1" t="s">
        <v>17</v>
      </c>
      <c r="AI29" s="1" t="s">
        <v>35</v>
      </c>
      <c r="AJ29" s="1" t="s">
        <v>57</v>
      </c>
      <c r="AK29" s="1" t="s">
        <v>62</v>
      </c>
      <c r="AL29" s="1" t="s">
        <v>21</v>
      </c>
      <c r="AM29" s="1">
        <v>8</v>
      </c>
      <c r="AN29" s="1">
        <v>2645.2</v>
      </c>
      <c r="AO29" s="1">
        <v>20</v>
      </c>
      <c r="AP29" s="1">
        <v>16929.28</v>
      </c>
      <c r="AQ29" s="1">
        <v>3385.8559999999998</v>
      </c>
      <c r="AR29" s="1">
        <v>13543.423999999999</v>
      </c>
      <c r="AS29" s="1" t="s">
        <v>84</v>
      </c>
      <c r="AT29" s="1" t="s">
        <v>84</v>
      </c>
      <c r="AU29" s="10" t="s">
        <v>84</v>
      </c>
      <c r="AV29" s="1">
        <v>21161.599999999999</v>
      </c>
    </row>
    <row r="30" spans="1:48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290.4975</v>
      </c>
      <c r="Q30" s="1">
        <f t="shared" si="1"/>
        <v>1646.1525000000001</v>
      </c>
      <c r="R30" s="1" t="str">
        <f t="shared" si="2"/>
        <v>low</v>
      </c>
      <c r="S30" s="1" t="str" cm="1">
        <f t="array" ref="S30">_xlfn.IFS(L30&gt;5,"high",L30=5,"medium",L30&lt;5,"low")</f>
        <v>low</v>
      </c>
      <c r="T30" s="10" t="str">
        <f t="shared" si="3"/>
        <v>low</v>
      </c>
      <c r="U30" s="1">
        <f t="shared" si="4"/>
        <v>2278.41</v>
      </c>
      <c r="AB30" s="1">
        <v>10242</v>
      </c>
      <c r="AC30" s="1">
        <v>1957</v>
      </c>
      <c r="AD30" s="2">
        <v>45262</v>
      </c>
      <c r="AE30" s="2">
        <v>45263</v>
      </c>
      <c r="AF30" s="1" t="s">
        <v>15</v>
      </c>
      <c r="AG30" s="1" t="s">
        <v>29</v>
      </c>
      <c r="AH30" s="1" t="s">
        <v>24</v>
      </c>
      <c r="AI30" s="1" t="s">
        <v>44</v>
      </c>
      <c r="AJ30" s="1" t="s">
        <v>52</v>
      </c>
      <c r="AK30" s="1" t="s">
        <v>64</v>
      </c>
      <c r="AL30" s="1" t="s">
        <v>47</v>
      </c>
      <c r="AM30" s="1">
        <v>9</v>
      </c>
      <c r="AN30" s="1">
        <v>2092.7800000000002</v>
      </c>
      <c r="AO30" s="1">
        <v>20</v>
      </c>
      <c r="AP30" s="1">
        <v>15068.02</v>
      </c>
      <c r="AQ30" s="1">
        <v>3013.6040000000003</v>
      </c>
      <c r="AR30" s="1">
        <v>12054.416000000001</v>
      </c>
      <c r="AS30" s="1" t="s">
        <v>84</v>
      </c>
      <c r="AT30" s="1" t="s">
        <v>84</v>
      </c>
      <c r="AU30" s="10" t="s">
        <v>84</v>
      </c>
      <c r="AV30" s="1">
        <v>18835.02</v>
      </c>
    </row>
    <row r="31" spans="1:48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31.444000000000003</v>
      </c>
      <c r="Q31" s="1">
        <f t="shared" si="1"/>
        <v>282.99599999999998</v>
      </c>
      <c r="R31" s="1" t="str">
        <f t="shared" si="2"/>
        <v>low</v>
      </c>
      <c r="S31" s="1" t="str" cm="1">
        <f t="array" ref="S31">_xlfn.IFS(L31&gt;5,"high",L31=5,"medium",L31&lt;5,"low")</f>
        <v>low</v>
      </c>
      <c r="T31" s="10" t="str">
        <f t="shared" si="3"/>
        <v>low</v>
      </c>
      <c r="U31" s="1">
        <f t="shared" si="4"/>
        <v>349.38</v>
      </c>
      <c r="AB31" s="1">
        <v>10245</v>
      </c>
      <c r="AC31" s="1">
        <v>1972</v>
      </c>
      <c r="AD31" s="2">
        <v>45143</v>
      </c>
      <c r="AE31" s="2">
        <v>45148</v>
      </c>
      <c r="AF31" s="1" t="s">
        <v>15</v>
      </c>
      <c r="AG31" s="1" t="s">
        <v>16</v>
      </c>
      <c r="AH31" s="1" t="s">
        <v>30</v>
      </c>
      <c r="AI31" s="1" t="s">
        <v>42</v>
      </c>
      <c r="AJ31" s="1" t="s">
        <v>49</v>
      </c>
      <c r="AK31" s="1" t="s">
        <v>51</v>
      </c>
      <c r="AL31" s="1" t="s">
        <v>47</v>
      </c>
      <c r="AM31" s="1">
        <v>8</v>
      </c>
      <c r="AN31" s="1">
        <v>1504.45</v>
      </c>
      <c r="AO31" s="1">
        <v>20</v>
      </c>
      <c r="AP31" s="1">
        <v>9628.48</v>
      </c>
      <c r="AQ31" s="1">
        <v>1925.6959999999999</v>
      </c>
      <c r="AR31" s="1">
        <v>7702.7839999999997</v>
      </c>
      <c r="AS31" s="1" t="s">
        <v>84</v>
      </c>
      <c r="AT31" s="1" t="s">
        <v>84</v>
      </c>
      <c r="AU31" s="10" t="s">
        <v>84</v>
      </c>
      <c r="AV31" s="1">
        <v>12035.6</v>
      </c>
    </row>
    <row r="32" spans="1:48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1836.5200000000002</v>
      </c>
      <c r="Q32" s="1">
        <f t="shared" si="1"/>
        <v>7346.08</v>
      </c>
      <c r="R32" s="1" t="str">
        <f t="shared" si="2"/>
        <v>high</v>
      </c>
      <c r="S32" s="1" t="str" cm="1">
        <f t="array" ref="S32">_xlfn.IFS(L32&gt;5,"high",L32=5,"medium",L32&lt;5,"low")</f>
        <v>medium</v>
      </c>
      <c r="T32" s="10" t="str">
        <f t="shared" si="3"/>
        <v>medium</v>
      </c>
      <c r="U32" s="1">
        <f t="shared" si="4"/>
        <v>11478.25</v>
      </c>
      <c r="AB32" s="1">
        <v>10247</v>
      </c>
      <c r="AC32" s="1">
        <v>1258</v>
      </c>
      <c r="AD32" s="2">
        <v>44996</v>
      </c>
      <c r="AE32" s="2">
        <v>44998</v>
      </c>
      <c r="AF32" s="1" t="s">
        <v>15</v>
      </c>
      <c r="AG32" s="1" t="s">
        <v>54</v>
      </c>
      <c r="AH32" s="1" t="s">
        <v>30</v>
      </c>
      <c r="AI32" s="1" t="s">
        <v>35</v>
      </c>
      <c r="AJ32" s="1" t="s">
        <v>52</v>
      </c>
      <c r="AK32" s="1" t="s">
        <v>64</v>
      </c>
      <c r="AL32" s="1" t="s">
        <v>47</v>
      </c>
      <c r="AM32" s="1">
        <v>7</v>
      </c>
      <c r="AN32" s="1">
        <v>2102.27</v>
      </c>
      <c r="AO32" s="1">
        <v>20</v>
      </c>
      <c r="AP32" s="1">
        <v>11772.71</v>
      </c>
      <c r="AQ32" s="1">
        <v>2354.5419999999999</v>
      </c>
      <c r="AR32" s="1">
        <v>9418.1679999999997</v>
      </c>
      <c r="AS32" s="1" t="s">
        <v>84</v>
      </c>
      <c r="AT32" s="1" t="s">
        <v>84</v>
      </c>
      <c r="AU32" s="10" t="s">
        <v>84</v>
      </c>
      <c r="AV32" s="1">
        <v>14715.89</v>
      </c>
    </row>
    <row r="33" spans="1:48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142.6405</v>
      </c>
      <c r="Q33" s="1">
        <f t="shared" si="1"/>
        <v>2710.1695</v>
      </c>
      <c r="R33" s="1" t="str">
        <f t="shared" si="2"/>
        <v>low</v>
      </c>
      <c r="S33" s="1" t="str" cm="1">
        <f t="array" ref="S33">_xlfn.IFS(L33&gt;5,"high",L33=5,"medium",L33&lt;5,"low")</f>
        <v>low</v>
      </c>
      <c r="T33" s="10" t="str">
        <f t="shared" si="3"/>
        <v>low</v>
      </c>
      <c r="U33" s="1">
        <f t="shared" si="4"/>
        <v>3002.96</v>
      </c>
      <c r="AB33" s="1">
        <v>10261</v>
      </c>
      <c r="AC33" s="1">
        <v>1826</v>
      </c>
      <c r="AD33" s="2">
        <v>44933</v>
      </c>
      <c r="AE33" s="2">
        <v>44936</v>
      </c>
      <c r="AF33" s="1" t="s">
        <v>15</v>
      </c>
      <c r="AG33" s="1" t="s">
        <v>54</v>
      </c>
      <c r="AH33" s="1" t="s">
        <v>24</v>
      </c>
      <c r="AI33" s="1" t="s">
        <v>25</v>
      </c>
      <c r="AJ33" s="1" t="s">
        <v>31</v>
      </c>
      <c r="AK33" s="1" t="s">
        <v>32</v>
      </c>
      <c r="AL33" s="1" t="s">
        <v>33</v>
      </c>
      <c r="AM33" s="1">
        <v>2</v>
      </c>
      <c r="AN33" s="1">
        <v>533.25</v>
      </c>
      <c r="AO33" s="1">
        <v>0</v>
      </c>
      <c r="AP33" s="1">
        <v>1066.5</v>
      </c>
      <c r="AQ33" s="1">
        <v>0</v>
      </c>
      <c r="AR33" s="1">
        <v>1066.5</v>
      </c>
      <c r="AS33" s="1" t="s">
        <v>86</v>
      </c>
      <c r="AT33" s="1" t="s">
        <v>86</v>
      </c>
      <c r="AU33" s="10" t="s">
        <v>86</v>
      </c>
      <c r="AV33" s="1">
        <v>1066.5</v>
      </c>
    </row>
    <row r="34" spans="1:48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3766.7620000000006</v>
      </c>
      <c r="Q34" s="1">
        <f t="shared" si="1"/>
        <v>15067.048000000001</v>
      </c>
      <c r="R34" s="1" t="str">
        <f t="shared" si="2"/>
        <v>high</v>
      </c>
      <c r="S34" s="1" t="str" cm="1">
        <f t="array" ref="S34">_xlfn.IFS(L34&gt;5,"high",L34=5,"medium",L34&lt;5,"low")</f>
        <v>high</v>
      </c>
      <c r="T34" s="10" t="str">
        <f t="shared" si="3"/>
        <v>high</v>
      </c>
      <c r="U34" s="1">
        <f t="shared" si="4"/>
        <v>23542.26</v>
      </c>
      <c r="AB34" s="1">
        <v>10262</v>
      </c>
      <c r="AC34" s="1">
        <v>1373</v>
      </c>
      <c r="AD34" s="2">
        <v>44996</v>
      </c>
      <c r="AE34" s="2">
        <v>44998</v>
      </c>
      <c r="AF34" s="1" t="s">
        <v>15</v>
      </c>
      <c r="AG34" s="1" t="s">
        <v>23</v>
      </c>
      <c r="AH34" s="1" t="s">
        <v>17</v>
      </c>
      <c r="AI34" s="1" t="s">
        <v>44</v>
      </c>
      <c r="AJ34" s="1" t="s">
        <v>57</v>
      </c>
      <c r="AK34" s="1" t="s">
        <v>59</v>
      </c>
      <c r="AL34" s="1" t="s">
        <v>21</v>
      </c>
      <c r="AM34" s="1">
        <v>7</v>
      </c>
      <c r="AN34" s="1">
        <v>2472.29</v>
      </c>
      <c r="AO34" s="1">
        <v>10</v>
      </c>
      <c r="AP34" s="1">
        <v>15575.43</v>
      </c>
      <c r="AQ34" s="1">
        <v>1557.5430000000001</v>
      </c>
      <c r="AR34" s="1">
        <v>14017.887000000001</v>
      </c>
      <c r="AS34" s="1" t="s">
        <v>84</v>
      </c>
      <c r="AT34" s="1" t="s">
        <v>84</v>
      </c>
      <c r="AU34" s="10" t="s">
        <v>84</v>
      </c>
      <c r="AV34" s="1">
        <v>17306.03</v>
      </c>
    </row>
    <row r="35" spans="1:48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0</v>
      </c>
      <c r="Q35" s="1">
        <f t="shared" si="1"/>
        <v>9177.5400000000009</v>
      </c>
      <c r="R35" s="1" t="str">
        <f t="shared" si="2"/>
        <v>high</v>
      </c>
      <c r="S35" s="1" t="str" cm="1">
        <f t="array" ref="S35">_xlfn.IFS(L35&gt;5,"high",L35=5,"medium",L35&lt;5,"low")</f>
        <v>high</v>
      </c>
      <c r="T35" s="10" t="str">
        <f t="shared" si="3"/>
        <v>high</v>
      </c>
      <c r="U35" s="1">
        <f t="shared" si="4"/>
        <v>9177.5399999999991</v>
      </c>
      <c r="AB35" s="1">
        <v>10264</v>
      </c>
      <c r="AC35" s="1">
        <v>1607</v>
      </c>
      <c r="AD35" s="2">
        <v>45086</v>
      </c>
      <c r="AE35" s="2">
        <v>45091</v>
      </c>
      <c r="AF35" s="1" t="s">
        <v>15</v>
      </c>
      <c r="AG35" s="1" t="s">
        <v>16</v>
      </c>
      <c r="AH35" s="1" t="s">
        <v>30</v>
      </c>
      <c r="AI35" s="1" t="s">
        <v>44</v>
      </c>
      <c r="AJ35" s="1" t="s">
        <v>52</v>
      </c>
      <c r="AK35" s="1" t="s">
        <v>60</v>
      </c>
      <c r="AL35" s="1" t="s">
        <v>47</v>
      </c>
      <c r="AM35" s="1">
        <v>4</v>
      </c>
      <c r="AN35" s="1">
        <v>1126.3</v>
      </c>
      <c r="AO35" s="1">
        <v>20</v>
      </c>
      <c r="AP35" s="1">
        <v>3604.16</v>
      </c>
      <c r="AQ35" s="1">
        <v>720.83199999999999</v>
      </c>
      <c r="AR35" s="1">
        <v>2883.328</v>
      </c>
      <c r="AS35" s="1" t="s">
        <v>86</v>
      </c>
      <c r="AT35" s="1" t="s">
        <v>86</v>
      </c>
      <c r="AU35" s="10" t="s">
        <v>86</v>
      </c>
      <c r="AV35" s="1">
        <v>4505.2</v>
      </c>
    </row>
    <row r="36" spans="1:48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1218.4930000000002</v>
      </c>
      <c r="Q36" s="1">
        <f t="shared" si="1"/>
        <v>23151.367000000002</v>
      </c>
      <c r="R36" s="1" t="str">
        <f t="shared" si="2"/>
        <v>high</v>
      </c>
      <c r="S36" s="1" t="str" cm="1">
        <f t="array" ref="S36">_xlfn.IFS(L36&gt;5,"high",L36=5,"medium",L36&lt;5,"low")</f>
        <v>high</v>
      </c>
      <c r="T36" s="10" t="str">
        <f t="shared" si="3"/>
        <v>high</v>
      </c>
      <c r="U36" s="1">
        <f t="shared" si="4"/>
        <v>25652.48</v>
      </c>
      <c r="AB36" s="1">
        <v>10269</v>
      </c>
      <c r="AC36" s="1">
        <v>1829</v>
      </c>
      <c r="AD36" s="2">
        <v>45125</v>
      </c>
      <c r="AE36" s="2">
        <v>45132</v>
      </c>
      <c r="AF36" s="1" t="s">
        <v>15</v>
      </c>
      <c r="AG36" s="1" t="s">
        <v>41</v>
      </c>
      <c r="AH36" s="1" t="s">
        <v>24</v>
      </c>
      <c r="AI36" s="1" t="s">
        <v>35</v>
      </c>
      <c r="AJ36" s="1" t="s">
        <v>49</v>
      </c>
      <c r="AK36" s="1" t="s">
        <v>51</v>
      </c>
      <c r="AL36" s="1" t="s">
        <v>47</v>
      </c>
      <c r="AM36" s="1">
        <v>5</v>
      </c>
      <c r="AN36" s="1">
        <v>3156.54</v>
      </c>
      <c r="AO36" s="1">
        <v>20</v>
      </c>
      <c r="AP36" s="1">
        <v>12626.16</v>
      </c>
      <c r="AQ36" s="1">
        <v>2525.232</v>
      </c>
      <c r="AR36" s="1">
        <v>10100.928</v>
      </c>
      <c r="AS36" s="1" t="s">
        <v>84</v>
      </c>
      <c r="AT36" s="1" t="s">
        <v>85</v>
      </c>
      <c r="AU36" s="10" t="s">
        <v>85</v>
      </c>
      <c r="AV36" s="1">
        <v>15782.7</v>
      </c>
    </row>
    <row r="37" spans="1:48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0</v>
      </c>
      <c r="Q37" s="1">
        <f t="shared" si="1"/>
        <v>11639.5</v>
      </c>
      <c r="R37" s="1" t="str">
        <f t="shared" si="2"/>
        <v>high</v>
      </c>
      <c r="S37" s="1" t="str" cm="1">
        <f t="array" ref="S37">_xlfn.IFS(L37&gt;5,"high",L37=5,"medium",L37&lt;5,"low")</f>
        <v>medium</v>
      </c>
      <c r="T37" s="10" t="str">
        <f t="shared" si="3"/>
        <v>medium</v>
      </c>
      <c r="U37" s="1">
        <f t="shared" si="4"/>
        <v>11639.5</v>
      </c>
      <c r="AB37" s="1">
        <v>10285</v>
      </c>
      <c r="AC37" s="1">
        <v>1001</v>
      </c>
      <c r="AD37" s="2">
        <v>45104</v>
      </c>
      <c r="AE37" s="2">
        <v>45109</v>
      </c>
      <c r="AF37" s="1" t="s">
        <v>15</v>
      </c>
      <c r="AG37" s="1" t="s">
        <v>23</v>
      </c>
      <c r="AH37" s="1" t="s">
        <v>17</v>
      </c>
      <c r="AI37" s="1" t="s">
        <v>44</v>
      </c>
      <c r="AJ37" s="1" t="s">
        <v>52</v>
      </c>
      <c r="AK37" s="1" t="s">
        <v>56</v>
      </c>
      <c r="AL37" s="1" t="s">
        <v>21</v>
      </c>
      <c r="AM37" s="1">
        <v>2</v>
      </c>
      <c r="AN37" s="1">
        <v>702.07</v>
      </c>
      <c r="AO37" s="1">
        <v>10</v>
      </c>
      <c r="AP37" s="1">
        <v>1263.73</v>
      </c>
      <c r="AQ37" s="1">
        <v>126.373</v>
      </c>
      <c r="AR37" s="1">
        <v>1137.357</v>
      </c>
      <c r="AS37" s="1" t="s">
        <v>86</v>
      </c>
      <c r="AT37" s="1" t="s">
        <v>86</v>
      </c>
      <c r="AU37" s="10" t="s">
        <v>86</v>
      </c>
      <c r="AV37" s="1">
        <v>1404.14</v>
      </c>
    </row>
    <row r="38" spans="1:48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162.125</v>
      </c>
      <c r="Q38" s="1">
        <f t="shared" si="1"/>
        <v>3080.375</v>
      </c>
      <c r="R38" s="1" t="str">
        <f t="shared" si="2"/>
        <v>low</v>
      </c>
      <c r="S38" s="1" t="str" cm="1">
        <f t="array" ref="S38">_xlfn.IFS(L38&gt;5,"high",L38=5,"medium",L38&lt;5,"low")</f>
        <v>low</v>
      </c>
      <c r="T38" s="10" t="str">
        <f t="shared" si="3"/>
        <v>low</v>
      </c>
      <c r="U38" s="1">
        <f t="shared" si="4"/>
        <v>3413.16</v>
      </c>
      <c r="AB38" s="1">
        <v>10286</v>
      </c>
      <c r="AC38" s="1">
        <v>1641</v>
      </c>
      <c r="AD38" s="2">
        <v>45043</v>
      </c>
      <c r="AE38" s="2">
        <v>45050</v>
      </c>
      <c r="AF38" s="1" t="s">
        <v>15</v>
      </c>
      <c r="AG38" s="1" t="s">
        <v>29</v>
      </c>
      <c r="AH38" s="1" t="s">
        <v>17</v>
      </c>
      <c r="AI38" s="1" t="s">
        <v>44</v>
      </c>
      <c r="AJ38" s="1" t="s">
        <v>57</v>
      </c>
      <c r="AK38" s="1" t="s">
        <v>58</v>
      </c>
      <c r="AL38" s="1" t="s">
        <v>28</v>
      </c>
      <c r="AM38" s="1">
        <v>6</v>
      </c>
      <c r="AN38" s="1">
        <v>220.79</v>
      </c>
      <c r="AO38" s="1">
        <v>5</v>
      </c>
      <c r="AP38" s="1">
        <v>1258.5</v>
      </c>
      <c r="AQ38" s="1">
        <v>62.925000000000004</v>
      </c>
      <c r="AR38" s="1">
        <v>1195.575</v>
      </c>
      <c r="AS38" s="1" t="s">
        <v>84</v>
      </c>
      <c r="AT38" s="1" t="s">
        <v>84</v>
      </c>
      <c r="AU38" s="10" t="s">
        <v>84</v>
      </c>
      <c r="AV38" s="1">
        <v>1324.74</v>
      </c>
    </row>
    <row r="39" spans="1:48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769.95600000000013</v>
      </c>
      <c r="Q39" s="1">
        <f t="shared" si="1"/>
        <v>3079.8240000000001</v>
      </c>
      <c r="R39" s="1" t="str">
        <f t="shared" si="2"/>
        <v>high</v>
      </c>
      <c r="S39" s="1" t="str" cm="1">
        <f t="array" ref="S39">_xlfn.IFS(L39&gt;5,"high",L39=5,"medium",L39&lt;5,"low")</f>
        <v>high</v>
      </c>
      <c r="T39" s="10" t="str">
        <f t="shared" si="3"/>
        <v>high</v>
      </c>
      <c r="U39" s="1">
        <f t="shared" si="4"/>
        <v>4812.22</v>
      </c>
      <c r="AB39" s="1">
        <v>10291</v>
      </c>
      <c r="AC39" s="1">
        <v>1735</v>
      </c>
      <c r="AD39" s="2">
        <v>45007</v>
      </c>
      <c r="AE39" s="2">
        <v>45008</v>
      </c>
      <c r="AF39" s="1" t="s">
        <v>15</v>
      </c>
      <c r="AG39" s="1" t="s">
        <v>54</v>
      </c>
      <c r="AH39" s="1" t="s">
        <v>24</v>
      </c>
      <c r="AI39" s="1" t="s">
        <v>25</v>
      </c>
      <c r="AJ39" s="1" t="s">
        <v>52</v>
      </c>
      <c r="AK39" s="1" t="s">
        <v>53</v>
      </c>
      <c r="AL39" s="1" t="s">
        <v>33</v>
      </c>
      <c r="AM39" s="1">
        <v>9</v>
      </c>
      <c r="AN39" s="1">
        <v>2661.11</v>
      </c>
      <c r="AO39" s="1">
        <v>10</v>
      </c>
      <c r="AP39" s="1">
        <v>21554.99</v>
      </c>
      <c r="AQ39" s="1">
        <v>2155.4990000000003</v>
      </c>
      <c r="AR39" s="1">
        <v>19399.491000000002</v>
      </c>
      <c r="AS39" s="1" t="s">
        <v>84</v>
      </c>
      <c r="AT39" s="1" t="s">
        <v>84</v>
      </c>
      <c r="AU39" s="10" t="s">
        <v>84</v>
      </c>
      <c r="AV39" s="1">
        <v>23949.99</v>
      </c>
    </row>
    <row r="40" spans="1:48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2114.7075</v>
      </c>
      <c r="Q40" s="1">
        <f t="shared" si="1"/>
        <v>11983.342499999999</v>
      </c>
      <c r="R40" s="1" t="str">
        <f t="shared" si="2"/>
        <v>high</v>
      </c>
      <c r="S40" s="1" t="str" cm="1">
        <f t="array" ref="S40">_xlfn.IFS(L40&gt;5,"high",L40=5,"medium",L40&lt;5,"low")</f>
        <v>high</v>
      </c>
      <c r="T40" s="10" t="str">
        <f t="shared" si="3"/>
        <v>high</v>
      </c>
      <c r="U40" s="1">
        <f t="shared" si="4"/>
        <v>16585.940000000002</v>
      </c>
      <c r="AB40" s="1">
        <v>10301</v>
      </c>
      <c r="AC40" s="1">
        <v>1709</v>
      </c>
      <c r="AD40" s="2">
        <v>44943</v>
      </c>
      <c r="AE40" s="2">
        <v>44947</v>
      </c>
      <c r="AF40" s="1" t="s">
        <v>15</v>
      </c>
      <c r="AG40" s="1" t="s">
        <v>29</v>
      </c>
      <c r="AH40" s="1" t="s">
        <v>17</v>
      </c>
      <c r="AI40" s="1" t="s">
        <v>25</v>
      </c>
      <c r="AJ40" s="1" t="s">
        <v>52</v>
      </c>
      <c r="AK40" s="1" t="s">
        <v>53</v>
      </c>
      <c r="AL40" s="1" t="s">
        <v>21</v>
      </c>
      <c r="AM40" s="1">
        <v>4</v>
      </c>
      <c r="AN40" s="1">
        <v>1733.79</v>
      </c>
      <c r="AO40" s="1">
        <v>5</v>
      </c>
      <c r="AP40" s="1">
        <v>6588.4</v>
      </c>
      <c r="AQ40" s="1">
        <v>329.42</v>
      </c>
      <c r="AR40" s="1">
        <v>6258.98</v>
      </c>
      <c r="AS40" s="1" t="s">
        <v>86</v>
      </c>
      <c r="AT40" s="1" t="s">
        <v>86</v>
      </c>
      <c r="AU40" s="10" t="s">
        <v>86</v>
      </c>
      <c r="AV40" s="1">
        <v>6935.16</v>
      </c>
    </row>
    <row r="41" spans="1:48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1664.9549999999999</v>
      </c>
      <c r="Q41" s="1">
        <f t="shared" si="1"/>
        <v>14984.594999999999</v>
      </c>
      <c r="R41" s="1" t="str">
        <f t="shared" si="2"/>
        <v>high</v>
      </c>
      <c r="S41" s="1" t="str" cm="1">
        <f t="array" ref="S41">_xlfn.IFS(L41&gt;5,"high",L41=5,"medium",L41&lt;5,"low")</f>
        <v>high</v>
      </c>
      <c r="T41" s="10" t="str">
        <f t="shared" si="3"/>
        <v>high</v>
      </c>
      <c r="U41" s="1">
        <f t="shared" si="4"/>
        <v>18499.5</v>
      </c>
      <c r="AB41" s="1">
        <v>10307</v>
      </c>
      <c r="AC41" s="1">
        <v>1183</v>
      </c>
      <c r="AD41" s="2">
        <v>45267</v>
      </c>
      <c r="AE41" s="2">
        <v>45273</v>
      </c>
      <c r="AF41" s="1" t="s">
        <v>15</v>
      </c>
      <c r="AG41" s="1" t="s">
        <v>16</v>
      </c>
      <c r="AH41" s="1" t="s">
        <v>24</v>
      </c>
      <c r="AI41" s="1" t="s">
        <v>42</v>
      </c>
      <c r="AJ41" s="1" t="s">
        <v>57</v>
      </c>
      <c r="AK41" s="1" t="s">
        <v>58</v>
      </c>
      <c r="AL41" s="1" t="s">
        <v>28</v>
      </c>
      <c r="AM41" s="1">
        <v>4</v>
      </c>
      <c r="AN41" s="1">
        <v>2008.45</v>
      </c>
      <c r="AO41" s="1">
        <v>5</v>
      </c>
      <c r="AP41" s="1">
        <v>7632.11</v>
      </c>
      <c r="AQ41" s="1">
        <v>381.60550000000001</v>
      </c>
      <c r="AR41" s="1">
        <v>7250.5045</v>
      </c>
      <c r="AS41" s="1" t="s">
        <v>86</v>
      </c>
      <c r="AT41" s="1" t="s">
        <v>86</v>
      </c>
      <c r="AU41" s="10" t="s">
        <v>86</v>
      </c>
      <c r="AV41" s="1">
        <v>8033.8</v>
      </c>
    </row>
    <row r="42" spans="1:48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0</v>
      </c>
      <c r="Q42" s="1">
        <f t="shared" si="1"/>
        <v>25270.400000000001</v>
      </c>
      <c r="R42" s="1" t="str">
        <f t="shared" si="2"/>
        <v>high</v>
      </c>
      <c r="S42" s="1" t="str" cm="1">
        <f t="array" ref="S42">_xlfn.IFS(L42&gt;5,"high",L42=5,"medium",L42&lt;5,"low")</f>
        <v>high</v>
      </c>
      <c r="T42" s="10" t="str">
        <f t="shared" si="3"/>
        <v>high</v>
      </c>
      <c r="U42" s="1">
        <f t="shared" si="4"/>
        <v>25270.400000000001</v>
      </c>
      <c r="AB42" s="1">
        <v>10318</v>
      </c>
      <c r="AC42" s="1">
        <v>1906</v>
      </c>
      <c r="AD42" s="2">
        <v>45093</v>
      </c>
      <c r="AE42" s="2">
        <v>45097</v>
      </c>
      <c r="AF42" s="1" t="s">
        <v>15</v>
      </c>
      <c r="AG42" s="1" t="s">
        <v>23</v>
      </c>
      <c r="AH42" s="1" t="s">
        <v>30</v>
      </c>
      <c r="AI42" s="1" t="s">
        <v>35</v>
      </c>
      <c r="AJ42" s="1" t="s">
        <v>49</v>
      </c>
      <c r="AK42" s="1" t="s">
        <v>68</v>
      </c>
      <c r="AL42" s="1" t="s">
        <v>21</v>
      </c>
      <c r="AM42" s="1">
        <v>7</v>
      </c>
      <c r="AN42" s="1">
        <v>245.03</v>
      </c>
      <c r="AO42" s="1">
        <v>0</v>
      </c>
      <c r="AP42" s="1">
        <v>1715.21</v>
      </c>
      <c r="AQ42" s="1">
        <v>0</v>
      </c>
      <c r="AR42" s="1">
        <v>1715.21</v>
      </c>
      <c r="AS42" s="1" t="s">
        <v>84</v>
      </c>
      <c r="AT42" s="1" t="s">
        <v>84</v>
      </c>
      <c r="AU42" s="10" t="s">
        <v>84</v>
      </c>
      <c r="AV42" s="1">
        <v>1715.21</v>
      </c>
    </row>
    <row r="43" spans="1:48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775.46800000000007</v>
      </c>
      <c r="Q43" s="1">
        <f t="shared" si="1"/>
        <v>3101.8720000000003</v>
      </c>
      <c r="R43" s="1" t="str">
        <f t="shared" si="2"/>
        <v>low</v>
      </c>
      <c r="S43" s="1" t="str" cm="1">
        <f t="array" ref="S43">_xlfn.IFS(L43&gt;5,"high",L43=5,"medium",L43&lt;5,"low")</f>
        <v>low</v>
      </c>
      <c r="T43" s="10" t="str">
        <f t="shared" si="3"/>
        <v>low</v>
      </c>
      <c r="U43" s="1">
        <f t="shared" si="4"/>
        <v>4846.68</v>
      </c>
      <c r="AB43" s="1">
        <v>10320</v>
      </c>
      <c r="AC43" s="1">
        <v>1751</v>
      </c>
      <c r="AD43" s="2">
        <v>45002</v>
      </c>
      <c r="AE43" s="2">
        <v>45005</v>
      </c>
      <c r="AF43" s="1" t="s">
        <v>15</v>
      </c>
      <c r="AG43" s="1" t="s">
        <v>16</v>
      </c>
      <c r="AH43" s="1" t="s">
        <v>17</v>
      </c>
      <c r="AI43" s="1" t="s">
        <v>35</v>
      </c>
      <c r="AJ43" s="1" t="s">
        <v>26</v>
      </c>
      <c r="AK43" s="1" t="s">
        <v>36</v>
      </c>
      <c r="AL43" s="1" t="s">
        <v>28</v>
      </c>
      <c r="AM43" s="1">
        <v>8</v>
      </c>
      <c r="AN43" s="1">
        <v>2254.7800000000002</v>
      </c>
      <c r="AO43" s="1">
        <v>0</v>
      </c>
      <c r="AP43" s="1">
        <v>18038.240000000002</v>
      </c>
      <c r="AQ43" s="1">
        <v>0</v>
      </c>
      <c r="AR43" s="1">
        <v>18038.240000000002</v>
      </c>
      <c r="AS43" s="1" t="s">
        <v>84</v>
      </c>
      <c r="AT43" s="1" t="s">
        <v>84</v>
      </c>
      <c r="AU43" s="10" t="s">
        <v>84</v>
      </c>
      <c r="AV43" s="1">
        <v>18038.240000000002</v>
      </c>
    </row>
    <row r="44" spans="1:48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596.92349999999999</v>
      </c>
      <c r="Q44" s="1">
        <f t="shared" si="1"/>
        <v>3382.5664999999999</v>
      </c>
      <c r="R44" s="1" t="str">
        <f t="shared" si="2"/>
        <v>high</v>
      </c>
      <c r="S44" s="1" t="str" cm="1">
        <f t="array" ref="S44">_xlfn.IFS(L44&gt;5,"high",L44=5,"medium",L44&lt;5,"low")</f>
        <v>medium</v>
      </c>
      <c r="T44" s="10" t="str">
        <f t="shared" si="3"/>
        <v>medium</v>
      </c>
      <c r="U44" s="1">
        <f t="shared" si="4"/>
        <v>4681.75</v>
      </c>
      <c r="AB44" s="1">
        <v>10322</v>
      </c>
      <c r="AC44" s="1">
        <v>1608</v>
      </c>
      <c r="AD44" s="2">
        <v>45220</v>
      </c>
      <c r="AE44" s="2">
        <v>45222</v>
      </c>
      <c r="AF44" s="1" t="s">
        <v>15</v>
      </c>
      <c r="AG44" s="1" t="s">
        <v>54</v>
      </c>
      <c r="AH44" s="1" t="s">
        <v>30</v>
      </c>
      <c r="AI44" s="1" t="s">
        <v>35</v>
      </c>
      <c r="AJ44" s="1" t="s">
        <v>26</v>
      </c>
      <c r="AK44" s="1" t="s">
        <v>61</v>
      </c>
      <c r="AL44" s="1" t="s">
        <v>28</v>
      </c>
      <c r="AM44" s="1">
        <v>5</v>
      </c>
      <c r="AN44" s="1">
        <v>640.82000000000005</v>
      </c>
      <c r="AO44" s="1">
        <v>0</v>
      </c>
      <c r="AP44" s="1">
        <v>3204.1</v>
      </c>
      <c r="AQ44" s="1">
        <v>0</v>
      </c>
      <c r="AR44" s="1">
        <v>3204.1</v>
      </c>
      <c r="AS44" s="1" t="s">
        <v>84</v>
      </c>
      <c r="AT44" s="1" t="s">
        <v>85</v>
      </c>
      <c r="AU44" s="10" t="s">
        <v>85</v>
      </c>
      <c r="AV44" s="1">
        <v>3204.1000000000004</v>
      </c>
    </row>
    <row r="45" spans="1:48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137.286</v>
      </c>
      <c r="Q45" s="1">
        <f t="shared" si="1"/>
        <v>549.14400000000001</v>
      </c>
      <c r="R45" s="1" t="str">
        <f t="shared" si="2"/>
        <v>low</v>
      </c>
      <c r="S45" s="1" t="str" cm="1">
        <f t="array" ref="S45">_xlfn.IFS(L45&gt;5,"high",L45=5,"medium",L45&lt;5,"low")</f>
        <v>low</v>
      </c>
      <c r="T45" s="10" t="str">
        <f t="shared" si="3"/>
        <v>low</v>
      </c>
      <c r="U45" s="1">
        <f t="shared" si="4"/>
        <v>858.04</v>
      </c>
      <c r="AB45" s="1">
        <v>10332</v>
      </c>
      <c r="AC45" s="1">
        <v>1954</v>
      </c>
      <c r="AD45" s="2">
        <v>44946</v>
      </c>
      <c r="AE45" s="2">
        <v>44955</v>
      </c>
      <c r="AF45" s="1" t="s">
        <v>15</v>
      </c>
      <c r="AG45" s="1" t="s">
        <v>23</v>
      </c>
      <c r="AH45" s="1" t="s">
        <v>17</v>
      </c>
      <c r="AI45" s="1" t="s">
        <v>42</v>
      </c>
      <c r="AJ45" s="1" t="s">
        <v>57</v>
      </c>
      <c r="AK45" s="1" t="s">
        <v>67</v>
      </c>
      <c r="AL45" s="1" t="s">
        <v>21</v>
      </c>
      <c r="AM45" s="1">
        <v>2</v>
      </c>
      <c r="AN45" s="1">
        <v>1335.36</v>
      </c>
      <c r="AO45" s="1">
        <v>5</v>
      </c>
      <c r="AP45" s="1">
        <v>2537.1799999999998</v>
      </c>
      <c r="AQ45" s="1">
        <v>126.85899999999999</v>
      </c>
      <c r="AR45" s="1">
        <v>2410.3209999999999</v>
      </c>
      <c r="AS45" s="1" t="s">
        <v>86</v>
      </c>
      <c r="AT45" s="1" t="s">
        <v>86</v>
      </c>
      <c r="AU45" s="10" t="s">
        <v>86</v>
      </c>
      <c r="AV45" s="1">
        <v>2670.72</v>
      </c>
    </row>
    <row r="46" spans="1:48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0</v>
      </c>
      <c r="Q46" s="1">
        <f t="shared" si="1"/>
        <v>2764.92</v>
      </c>
      <c r="R46" s="1" t="str">
        <f t="shared" si="2"/>
        <v>low</v>
      </c>
      <c r="S46" s="1" t="str" cm="1">
        <f t="array" ref="S46">_xlfn.IFS(L46&gt;5,"high",L46=5,"medium",L46&lt;5,"low")</f>
        <v>low</v>
      </c>
      <c r="T46" s="10" t="str">
        <f t="shared" si="3"/>
        <v>low</v>
      </c>
      <c r="U46" s="1">
        <f t="shared" si="4"/>
        <v>2764.92</v>
      </c>
      <c r="AB46" s="1">
        <v>10339</v>
      </c>
      <c r="AC46" s="1">
        <v>1147</v>
      </c>
      <c r="AD46" s="2">
        <v>45005</v>
      </c>
      <c r="AE46" s="2">
        <v>45012</v>
      </c>
      <c r="AF46" s="1" t="s">
        <v>15</v>
      </c>
      <c r="AG46" s="1" t="s">
        <v>54</v>
      </c>
      <c r="AH46" s="1" t="s">
        <v>17</v>
      </c>
      <c r="AI46" s="1" t="s">
        <v>25</v>
      </c>
      <c r="AJ46" s="1" t="s">
        <v>31</v>
      </c>
      <c r="AK46" s="1" t="s">
        <v>32</v>
      </c>
      <c r="AL46" s="1" t="s">
        <v>21</v>
      </c>
      <c r="AM46" s="1">
        <v>4</v>
      </c>
      <c r="AN46" s="1">
        <v>3708.51</v>
      </c>
      <c r="AO46" s="1">
        <v>5</v>
      </c>
      <c r="AP46" s="1">
        <v>14092.34</v>
      </c>
      <c r="AQ46" s="1">
        <v>704.61700000000008</v>
      </c>
      <c r="AR46" s="1">
        <v>13387.723</v>
      </c>
      <c r="AS46" s="1" t="s">
        <v>86</v>
      </c>
      <c r="AT46" s="1" t="s">
        <v>86</v>
      </c>
      <c r="AU46" s="10" t="s">
        <v>86</v>
      </c>
      <c r="AV46" s="1">
        <v>14834.04</v>
      </c>
    </row>
    <row r="47" spans="1:48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320.24900000000002</v>
      </c>
      <c r="Q47" s="1">
        <f t="shared" si="1"/>
        <v>2882.241</v>
      </c>
      <c r="R47" s="1" t="str">
        <f t="shared" si="2"/>
        <v>high</v>
      </c>
      <c r="S47" s="1" t="str" cm="1">
        <f t="array" ref="S47">_xlfn.IFS(L47&gt;5,"high",L47=5,"medium",L47&lt;5,"low")</f>
        <v>high</v>
      </c>
      <c r="T47" s="10" t="str">
        <f t="shared" si="3"/>
        <v>high</v>
      </c>
      <c r="U47" s="1">
        <f t="shared" si="4"/>
        <v>3558.32</v>
      </c>
      <c r="AB47" s="1">
        <v>10342</v>
      </c>
      <c r="AC47" s="1">
        <v>1819</v>
      </c>
      <c r="AD47" s="2">
        <v>45018</v>
      </c>
      <c r="AE47" s="2">
        <v>45019</v>
      </c>
      <c r="AF47" s="1" t="s">
        <v>15</v>
      </c>
      <c r="AG47" s="1" t="s">
        <v>54</v>
      </c>
      <c r="AH47" s="1" t="s">
        <v>17</v>
      </c>
      <c r="AI47" s="1" t="s">
        <v>35</v>
      </c>
      <c r="AJ47" s="1" t="s">
        <v>26</v>
      </c>
      <c r="AK47" s="1" t="s">
        <v>27</v>
      </c>
      <c r="AL47" s="1" t="s">
        <v>47</v>
      </c>
      <c r="AM47" s="1">
        <v>5</v>
      </c>
      <c r="AN47" s="1">
        <v>1853.11</v>
      </c>
      <c r="AO47" s="1">
        <v>10</v>
      </c>
      <c r="AP47" s="1">
        <v>8338.99</v>
      </c>
      <c r="AQ47" s="1">
        <v>833.899</v>
      </c>
      <c r="AR47" s="1">
        <v>7505.0909999999994</v>
      </c>
      <c r="AS47" s="1" t="s">
        <v>84</v>
      </c>
      <c r="AT47" s="1" t="s">
        <v>85</v>
      </c>
      <c r="AU47" s="10" t="s">
        <v>85</v>
      </c>
      <c r="AV47" s="1">
        <v>9265.5499999999993</v>
      </c>
    </row>
    <row r="48" spans="1:48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283.18800000000005</v>
      </c>
      <c r="Q48" s="1">
        <f t="shared" si="1"/>
        <v>1132.752</v>
      </c>
      <c r="R48" s="1" t="str">
        <f t="shared" si="2"/>
        <v>low</v>
      </c>
      <c r="S48" s="1" t="str" cm="1">
        <f t="array" ref="S48">_xlfn.IFS(L48&gt;5,"high",L48=5,"medium",L48&lt;5,"low")</f>
        <v>low</v>
      </c>
      <c r="T48" s="10" t="str">
        <f t="shared" si="3"/>
        <v>low</v>
      </c>
      <c r="U48" s="1">
        <f t="shared" si="4"/>
        <v>1769.93</v>
      </c>
      <c r="AB48" s="1">
        <v>10347</v>
      </c>
      <c r="AC48" s="1">
        <v>1550</v>
      </c>
      <c r="AD48" s="2">
        <v>44952</v>
      </c>
      <c r="AE48" s="2">
        <v>44954</v>
      </c>
      <c r="AF48" s="1" t="s">
        <v>15</v>
      </c>
      <c r="AG48" s="1" t="s">
        <v>29</v>
      </c>
      <c r="AH48" s="1" t="s">
        <v>24</v>
      </c>
      <c r="AI48" s="1" t="s">
        <v>44</v>
      </c>
      <c r="AJ48" s="1" t="s">
        <v>19</v>
      </c>
      <c r="AK48" s="1" t="s">
        <v>20</v>
      </c>
      <c r="AL48" s="1" t="s">
        <v>45</v>
      </c>
      <c r="AM48" s="1">
        <v>4</v>
      </c>
      <c r="AN48" s="1">
        <v>640.37</v>
      </c>
      <c r="AO48" s="1">
        <v>20</v>
      </c>
      <c r="AP48" s="1">
        <v>2049.1799999999998</v>
      </c>
      <c r="AQ48" s="1">
        <v>409.83600000000001</v>
      </c>
      <c r="AR48" s="1">
        <v>1639.3439999999998</v>
      </c>
      <c r="AS48" s="1" t="s">
        <v>86</v>
      </c>
      <c r="AT48" s="1" t="s">
        <v>86</v>
      </c>
      <c r="AU48" s="10" t="s">
        <v>86</v>
      </c>
      <c r="AV48" s="1">
        <v>2561.48</v>
      </c>
    </row>
    <row r="49" spans="1:48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585.7890000000001</v>
      </c>
      <c r="Q49" s="1">
        <f t="shared" si="1"/>
        <v>11129.991</v>
      </c>
      <c r="R49" s="1" t="str">
        <f t="shared" si="2"/>
        <v>high</v>
      </c>
      <c r="S49" s="1" t="str" cm="1">
        <f t="array" ref="S49">_xlfn.IFS(L49&gt;5,"high",L49=5,"medium",L49&lt;5,"low")</f>
        <v>medium</v>
      </c>
      <c r="T49" s="10" t="str">
        <f t="shared" si="3"/>
        <v>medium</v>
      </c>
      <c r="U49" s="1">
        <f t="shared" si="4"/>
        <v>12332.4</v>
      </c>
      <c r="AB49" s="1">
        <v>10348</v>
      </c>
      <c r="AC49" s="1">
        <v>1337</v>
      </c>
      <c r="AD49" s="2">
        <v>44992</v>
      </c>
      <c r="AE49" s="2">
        <v>44993</v>
      </c>
      <c r="AF49" s="1" t="s">
        <v>15</v>
      </c>
      <c r="AG49" s="1" t="s">
        <v>29</v>
      </c>
      <c r="AH49" s="1" t="s">
        <v>17</v>
      </c>
      <c r="AI49" s="1" t="s">
        <v>42</v>
      </c>
      <c r="AJ49" s="1" t="s">
        <v>49</v>
      </c>
      <c r="AK49" s="1" t="s">
        <v>68</v>
      </c>
      <c r="AL49" s="1" t="s">
        <v>47</v>
      </c>
      <c r="AM49" s="1">
        <v>9</v>
      </c>
      <c r="AN49" s="1">
        <v>636.14</v>
      </c>
      <c r="AO49" s="1">
        <v>20</v>
      </c>
      <c r="AP49" s="1">
        <v>4580.21</v>
      </c>
      <c r="AQ49" s="1">
        <v>916.04200000000003</v>
      </c>
      <c r="AR49" s="1">
        <v>3664.1680000000001</v>
      </c>
      <c r="AS49" s="1" t="s">
        <v>84</v>
      </c>
      <c r="AT49" s="1" t="s">
        <v>84</v>
      </c>
      <c r="AU49" s="10" t="s">
        <v>84</v>
      </c>
      <c r="AV49" s="1">
        <v>5725.26</v>
      </c>
    </row>
    <row r="50" spans="1:48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2874.7709999999997</v>
      </c>
      <c r="Q50" s="1">
        <f t="shared" si="1"/>
        <v>16290.368999999999</v>
      </c>
      <c r="R50" s="1" t="str">
        <f t="shared" si="2"/>
        <v>high</v>
      </c>
      <c r="S50" s="1" t="str" cm="1">
        <f t="array" ref="S50">_xlfn.IFS(L50&gt;5,"high",L50=5,"medium",L50&lt;5,"low")</f>
        <v>high</v>
      </c>
      <c r="T50" s="10" t="str">
        <f t="shared" si="3"/>
        <v>high</v>
      </c>
      <c r="U50" s="1">
        <f t="shared" si="4"/>
        <v>22547.22</v>
      </c>
      <c r="AB50" s="1">
        <v>10350</v>
      </c>
      <c r="AC50" s="1">
        <v>1640</v>
      </c>
      <c r="AD50" s="2">
        <v>45180</v>
      </c>
      <c r="AE50" s="2">
        <v>45185</v>
      </c>
      <c r="AF50" s="1" t="s">
        <v>15</v>
      </c>
      <c r="AG50" s="1" t="s">
        <v>41</v>
      </c>
      <c r="AH50" s="1" t="s">
        <v>17</v>
      </c>
      <c r="AI50" s="1" t="s">
        <v>44</v>
      </c>
      <c r="AJ50" s="1" t="s">
        <v>57</v>
      </c>
      <c r="AK50" s="1" t="s">
        <v>62</v>
      </c>
      <c r="AL50" s="1" t="s">
        <v>21</v>
      </c>
      <c r="AM50" s="1">
        <v>1</v>
      </c>
      <c r="AN50" s="1">
        <v>3708.38</v>
      </c>
      <c r="AO50" s="1">
        <v>20</v>
      </c>
      <c r="AP50" s="1">
        <v>2966.7</v>
      </c>
      <c r="AQ50" s="1">
        <v>593.34</v>
      </c>
      <c r="AR50" s="1">
        <v>2373.3599999999997</v>
      </c>
      <c r="AS50" s="1" t="s">
        <v>86</v>
      </c>
      <c r="AT50" s="1" t="s">
        <v>86</v>
      </c>
      <c r="AU50" s="10" t="s">
        <v>86</v>
      </c>
      <c r="AV50" s="1">
        <v>3708.38</v>
      </c>
    </row>
    <row r="51" spans="1:48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1296.422</v>
      </c>
      <c r="Q51" s="1">
        <f t="shared" si="1"/>
        <v>5185.6880000000001</v>
      </c>
      <c r="R51" s="1" t="str">
        <f t="shared" si="2"/>
        <v>high</v>
      </c>
      <c r="S51" s="1" t="str" cm="1">
        <f t="array" ref="S51">_xlfn.IFS(L51&gt;5,"high",L51=5,"medium",L51&lt;5,"low")</f>
        <v>high</v>
      </c>
      <c r="T51" s="10" t="str">
        <f t="shared" si="3"/>
        <v>high</v>
      </c>
      <c r="U51" s="1">
        <f t="shared" si="4"/>
        <v>8102.64</v>
      </c>
      <c r="AB51" s="1">
        <v>10358</v>
      </c>
      <c r="AC51" s="1">
        <v>1989</v>
      </c>
      <c r="AD51" s="2">
        <v>45015</v>
      </c>
      <c r="AE51" s="2">
        <v>45019</v>
      </c>
      <c r="AF51" s="1" t="s">
        <v>15</v>
      </c>
      <c r="AG51" s="1" t="s">
        <v>29</v>
      </c>
      <c r="AH51" s="1" t="s">
        <v>30</v>
      </c>
      <c r="AI51" s="1" t="s">
        <v>35</v>
      </c>
      <c r="AJ51" s="1" t="s">
        <v>57</v>
      </c>
      <c r="AK51" s="1" t="s">
        <v>58</v>
      </c>
      <c r="AL51" s="1" t="s">
        <v>33</v>
      </c>
      <c r="AM51" s="1">
        <v>8</v>
      </c>
      <c r="AN51" s="1">
        <v>3581.12</v>
      </c>
      <c r="AO51" s="1">
        <v>15</v>
      </c>
      <c r="AP51" s="1">
        <v>24351.62</v>
      </c>
      <c r="AQ51" s="1">
        <v>3652.7429999999999</v>
      </c>
      <c r="AR51" s="1">
        <v>20698.877</v>
      </c>
      <c r="AS51" s="1" t="s">
        <v>84</v>
      </c>
      <c r="AT51" s="1" t="s">
        <v>84</v>
      </c>
      <c r="AU51" s="10" t="s">
        <v>84</v>
      </c>
      <c r="AV51" s="1">
        <v>28648.959999999999</v>
      </c>
    </row>
    <row r="52" spans="1:48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708.6585</v>
      </c>
      <c r="Q52" s="1">
        <f t="shared" si="1"/>
        <v>4015.7315000000003</v>
      </c>
      <c r="R52" s="1" t="str">
        <f t="shared" si="2"/>
        <v>high</v>
      </c>
      <c r="S52" s="1" t="str" cm="1">
        <f t="array" ref="S52">_xlfn.IFS(L52&gt;5,"high",L52=5,"medium",L52&lt;5,"low")</f>
        <v>medium</v>
      </c>
      <c r="T52" s="10" t="str">
        <f t="shared" si="3"/>
        <v>medium</v>
      </c>
      <c r="U52" s="1">
        <f t="shared" si="4"/>
        <v>5558.0999999999995</v>
      </c>
      <c r="AB52" s="1">
        <v>10366</v>
      </c>
      <c r="AC52" s="1">
        <v>1571</v>
      </c>
      <c r="AD52" s="2">
        <v>45223</v>
      </c>
      <c r="AE52" s="2">
        <v>45226</v>
      </c>
      <c r="AF52" s="1" t="s">
        <v>15</v>
      </c>
      <c r="AG52" s="1" t="s">
        <v>16</v>
      </c>
      <c r="AH52" s="1" t="s">
        <v>24</v>
      </c>
      <c r="AI52" s="1" t="s">
        <v>42</v>
      </c>
      <c r="AJ52" s="1" t="s">
        <v>49</v>
      </c>
      <c r="AK52" s="1" t="s">
        <v>63</v>
      </c>
      <c r="AL52" s="1" t="s">
        <v>21</v>
      </c>
      <c r="AM52" s="1">
        <v>5</v>
      </c>
      <c r="AN52" s="1">
        <v>3320.88</v>
      </c>
      <c r="AO52" s="1">
        <v>0</v>
      </c>
      <c r="AP52" s="1">
        <v>16604.400000000001</v>
      </c>
      <c r="AQ52" s="1">
        <v>0</v>
      </c>
      <c r="AR52" s="1">
        <v>16604.400000000001</v>
      </c>
      <c r="AS52" s="1" t="s">
        <v>84</v>
      </c>
      <c r="AT52" s="1" t="s">
        <v>85</v>
      </c>
      <c r="AU52" s="10" t="s">
        <v>85</v>
      </c>
      <c r="AV52" s="1">
        <v>16604.400000000001</v>
      </c>
    </row>
    <row r="53" spans="1:48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380.26400000000001</v>
      </c>
      <c r="Q53" s="1">
        <f t="shared" si="1"/>
        <v>7225.0159999999996</v>
      </c>
      <c r="R53" s="1" t="str">
        <f t="shared" si="2"/>
        <v>low</v>
      </c>
      <c r="S53" s="1" t="str" cm="1">
        <f t="array" ref="S53">_xlfn.IFS(L53&gt;5,"high",L53=5,"medium",L53&lt;5,"low")</f>
        <v>low</v>
      </c>
      <c r="T53" s="10" t="str">
        <f t="shared" si="3"/>
        <v>low</v>
      </c>
      <c r="U53" s="1">
        <f t="shared" si="4"/>
        <v>8005.5599999999995</v>
      </c>
      <c r="AB53" s="1">
        <v>10379</v>
      </c>
      <c r="AC53" s="1">
        <v>1658</v>
      </c>
      <c r="AD53" s="2">
        <v>45262</v>
      </c>
      <c r="AE53" s="2">
        <v>45270</v>
      </c>
      <c r="AF53" s="1" t="s">
        <v>15</v>
      </c>
      <c r="AG53" s="1" t="s">
        <v>16</v>
      </c>
      <c r="AH53" s="1" t="s">
        <v>24</v>
      </c>
      <c r="AI53" s="1" t="s">
        <v>35</v>
      </c>
      <c r="AJ53" s="1" t="s">
        <v>26</v>
      </c>
      <c r="AK53" s="1" t="s">
        <v>69</v>
      </c>
      <c r="AL53" s="1" t="s">
        <v>45</v>
      </c>
      <c r="AM53" s="1">
        <v>1</v>
      </c>
      <c r="AN53" s="1">
        <v>3910.66</v>
      </c>
      <c r="AO53" s="1">
        <v>5</v>
      </c>
      <c r="AP53" s="1">
        <v>3715.13</v>
      </c>
      <c r="AQ53" s="1">
        <v>185.75650000000002</v>
      </c>
      <c r="AR53" s="1">
        <v>3529.3735000000001</v>
      </c>
      <c r="AS53" s="1" t="s">
        <v>86</v>
      </c>
      <c r="AT53" s="1" t="s">
        <v>86</v>
      </c>
      <c r="AU53" s="10" t="s">
        <v>86</v>
      </c>
      <c r="AV53" s="1">
        <v>3910.66</v>
      </c>
    </row>
    <row r="54" spans="1:48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1140.3309999999999</v>
      </c>
      <c r="Q54" s="1">
        <f t="shared" si="1"/>
        <v>10262.978999999999</v>
      </c>
      <c r="R54" s="1" t="str">
        <f t="shared" si="2"/>
        <v>high</v>
      </c>
      <c r="S54" s="1" t="str" cm="1">
        <f t="array" ref="S54">_xlfn.IFS(L54&gt;5,"high",L54=5,"medium",L54&lt;5,"low")</f>
        <v>medium</v>
      </c>
      <c r="T54" s="10" t="str">
        <f t="shared" si="3"/>
        <v>medium</v>
      </c>
      <c r="U54" s="1">
        <f t="shared" si="4"/>
        <v>12670.35</v>
      </c>
      <c r="AB54" s="1">
        <v>10386</v>
      </c>
      <c r="AC54" s="1">
        <v>1119</v>
      </c>
      <c r="AD54" s="2">
        <v>45146</v>
      </c>
      <c r="AE54" s="2">
        <v>45154</v>
      </c>
      <c r="AF54" s="1" t="s">
        <v>15</v>
      </c>
      <c r="AG54" s="1" t="s">
        <v>23</v>
      </c>
      <c r="AH54" s="1" t="s">
        <v>24</v>
      </c>
      <c r="AI54" s="1" t="s">
        <v>44</v>
      </c>
      <c r="AJ54" s="1" t="s">
        <v>49</v>
      </c>
      <c r="AK54" s="1" t="s">
        <v>68</v>
      </c>
      <c r="AL54" s="1" t="s">
        <v>28</v>
      </c>
      <c r="AM54" s="1">
        <v>2</v>
      </c>
      <c r="AN54" s="1">
        <v>1984.38</v>
      </c>
      <c r="AO54" s="1">
        <v>10</v>
      </c>
      <c r="AP54" s="1">
        <v>3571.88</v>
      </c>
      <c r="AQ54" s="1">
        <v>357.18800000000005</v>
      </c>
      <c r="AR54" s="1">
        <v>3214.692</v>
      </c>
      <c r="AS54" s="1" t="s">
        <v>86</v>
      </c>
      <c r="AT54" s="1" t="s">
        <v>86</v>
      </c>
      <c r="AU54" s="10" t="s">
        <v>86</v>
      </c>
      <c r="AV54" s="1">
        <v>3968.76</v>
      </c>
    </row>
    <row r="55" spans="1:48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1028.606</v>
      </c>
      <c r="Q55" s="1">
        <f t="shared" si="1"/>
        <v>9257.4539999999997</v>
      </c>
      <c r="R55" s="1" t="str">
        <f t="shared" si="2"/>
        <v>high</v>
      </c>
      <c r="S55" s="1" t="str" cm="1">
        <f t="array" ref="S55">_xlfn.IFS(L55&gt;5,"high",L55=5,"medium",L55&lt;5,"low")</f>
        <v>high</v>
      </c>
      <c r="T55" s="10" t="str">
        <f t="shared" si="3"/>
        <v>high</v>
      </c>
      <c r="U55" s="1">
        <f t="shared" si="4"/>
        <v>11428.96</v>
      </c>
      <c r="AB55" s="1">
        <v>10389</v>
      </c>
      <c r="AC55" s="1">
        <v>1627</v>
      </c>
      <c r="AD55" s="2">
        <v>45027</v>
      </c>
      <c r="AE55" s="2">
        <v>45030</v>
      </c>
      <c r="AF55" s="1" t="s">
        <v>15</v>
      </c>
      <c r="AG55" s="1" t="s">
        <v>38</v>
      </c>
      <c r="AH55" s="1" t="s">
        <v>17</v>
      </c>
      <c r="AI55" s="1" t="s">
        <v>35</v>
      </c>
      <c r="AJ55" s="1" t="s">
        <v>26</v>
      </c>
      <c r="AK55" s="1" t="s">
        <v>69</v>
      </c>
      <c r="AL55" s="1" t="s">
        <v>21</v>
      </c>
      <c r="AM55" s="1">
        <v>7</v>
      </c>
      <c r="AN55" s="1">
        <v>3459.29</v>
      </c>
      <c r="AO55" s="1">
        <v>0</v>
      </c>
      <c r="AP55" s="1">
        <v>24215.03</v>
      </c>
      <c r="AQ55" s="1">
        <v>0</v>
      </c>
      <c r="AR55" s="1">
        <v>24215.03</v>
      </c>
      <c r="AS55" s="1" t="s">
        <v>84</v>
      </c>
      <c r="AT55" s="1" t="s">
        <v>84</v>
      </c>
      <c r="AU55" s="10" t="s">
        <v>84</v>
      </c>
      <c r="AV55" s="1">
        <v>24215.03</v>
      </c>
    </row>
    <row r="56" spans="1:48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353.70300000000003</v>
      </c>
      <c r="Q56" s="1">
        <f t="shared" si="1"/>
        <v>6720.357</v>
      </c>
      <c r="R56" s="1" t="str">
        <f t="shared" si="2"/>
        <v>low</v>
      </c>
      <c r="S56" s="1" t="str" cm="1">
        <f t="array" ref="S56">_xlfn.IFS(L56&gt;5,"high",L56=5,"medium",L56&lt;5,"low")</f>
        <v>low</v>
      </c>
      <c r="T56" s="10" t="str">
        <f t="shared" si="3"/>
        <v>low</v>
      </c>
      <c r="U56" s="1">
        <f t="shared" si="4"/>
        <v>7446.38</v>
      </c>
      <c r="AB56" s="1">
        <v>10391</v>
      </c>
      <c r="AC56" s="1">
        <v>1624</v>
      </c>
      <c r="AD56" s="2">
        <v>45033</v>
      </c>
      <c r="AE56" s="2">
        <v>45037</v>
      </c>
      <c r="AF56" s="1" t="s">
        <v>15</v>
      </c>
      <c r="AG56" s="1" t="s">
        <v>29</v>
      </c>
      <c r="AH56" s="1" t="s">
        <v>30</v>
      </c>
      <c r="AI56" s="1" t="s">
        <v>25</v>
      </c>
      <c r="AJ56" s="1" t="s">
        <v>19</v>
      </c>
      <c r="AK56" s="1" t="s">
        <v>66</v>
      </c>
      <c r="AL56" s="1" t="s">
        <v>33</v>
      </c>
      <c r="AM56" s="1">
        <v>6</v>
      </c>
      <c r="AN56" s="1">
        <v>2824.42</v>
      </c>
      <c r="AO56" s="1">
        <v>0</v>
      </c>
      <c r="AP56" s="1">
        <v>16946.52</v>
      </c>
      <c r="AQ56" s="1">
        <v>0</v>
      </c>
      <c r="AR56" s="1">
        <v>16946.52</v>
      </c>
      <c r="AS56" s="1" t="s">
        <v>84</v>
      </c>
      <c r="AT56" s="1" t="s">
        <v>84</v>
      </c>
      <c r="AU56" s="10" t="s">
        <v>84</v>
      </c>
      <c r="AV56" s="1">
        <v>16946.52</v>
      </c>
    </row>
    <row r="57" spans="1:48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2603.0804999999996</v>
      </c>
      <c r="Q57" s="1">
        <f t="shared" si="1"/>
        <v>14750.789499999999</v>
      </c>
      <c r="R57" s="1" t="str">
        <f t="shared" si="2"/>
        <v>high</v>
      </c>
      <c r="S57" s="1" t="str" cm="1">
        <f t="array" ref="S57">_xlfn.IFS(L57&gt;5,"high",L57=5,"medium",L57&lt;5,"low")</f>
        <v>high</v>
      </c>
      <c r="T57" s="10" t="str">
        <f t="shared" si="3"/>
        <v>high</v>
      </c>
      <c r="U57" s="1">
        <f t="shared" si="4"/>
        <v>20416.32</v>
      </c>
      <c r="AB57" s="1">
        <v>10419</v>
      </c>
      <c r="AC57" s="1">
        <v>1397</v>
      </c>
      <c r="AD57" s="2">
        <v>45122</v>
      </c>
      <c r="AE57" s="2">
        <v>45129</v>
      </c>
      <c r="AF57" s="1" t="s">
        <v>15</v>
      </c>
      <c r="AG57" s="1" t="s">
        <v>16</v>
      </c>
      <c r="AH57" s="1" t="s">
        <v>24</v>
      </c>
      <c r="AI57" s="1" t="s">
        <v>35</v>
      </c>
      <c r="AJ57" s="1" t="s">
        <v>26</v>
      </c>
      <c r="AK57" s="1" t="s">
        <v>27</v>
      </c>
      <c r="AL57" s="1" t="s">
        <v>47</v>
      </c>
      <c r="AM57" s="1">
        <v>8</v>
      </c>
      <c r="AN57" s="1">
        <v>1975.53</v>
      </c>
      <c r="AO57" s="1">
        <v>5</v>
      </c>
      <c r="AP57" s="1">
        <v>15014.03</v>
      </c>
      <c r="AQ57" s="1">
        <v>750.70150000000012</v>
      </c>
      <c r="AR57" s="1">
        <v>14263.3285</v>
      </c>
      <c r="AS57" s="1" t="s">
        <v>84</v>
      </c>
      <c r="AT57" s="1" t="s">
        <v>84</v>
      </c>
      <c r="AU57" s="10" t="s">
        <v>84</v>
      </c>
      <c r="AV57" s="1">
        <v>15804.24</v>
      </c>
    </row>
    <row r="58" spans="1:48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1457.7560000000001</v>
      </c>
      <c r="Q58" s="1">
        <f t="shared" si="1"/>
        <v>5831.0239999999994</v>
      </c>
      <c r="R58" s="1" t="str">
        <f t="shared" si="2"/>
        <v>high</v>
      </c>
      <c r="S58" s="1" t="str" cm="1">
        <f t="array" ref="S58">_xlfn.IFS(L58&gt;5,"high",L58=5,"medium",L58&lt;5,"low")</f>
        <v>high</v>
      </c>
      <c r="T58" s="10" t="str">
        <f t="shared" si="3"/>
        <v>high</v>
      </c>
      <c r="U58" s="1">
        <f t="shared" si="4"/>
        <v>9110.9700000000012</v>
      </c>
      <c r="AB58" s="1">
        <v>10420</v>
      </c>
      <c r="AC58" s="1">
        <v>1276</v>
      </c>
      <c r="AD58" s="2">
        <v>45207</v>
      </c>
      <c r="AE58" s="2">
        <v>45209</v>
      </c>
      <c r="AF58" s="1" t="s">
        <v>15</v>
      </c>
      <c r="AG58" s="1" t="s">
        <v>29</v>
      </c>
      <c r="AH58" s="1" t="s">
        <v>24</v>
      </c>
      <c r="AI58" s="1" t="s">
        <v>18</v>
      </c>
      <c r="AJ58" s="1" t="s">
        <v>19</v>
      </c>
      <c r="AK58" s="1" t="s">
        <v>66</v>
      </c>
      <c r="AL58" s="1" t="s">
        <v>21</v>
      </c>
      <c r="AM58" s="1">
        <v>2</v>
      </c>
      <c r="AN58" s="1">
        <v>406.77</v>
      </c>
      <c r="AO58" s="1">
        <v>10</v>
      </c>
      <c r="AP58" s="1">
        <v>732.19</v>
      </c>
      <c r="AQ58" s="1">
        <v>73.219000000000008</v>
      </c>
      <c r="AR58" s="1">
        <v>658.971</v>
      </c>
      <c r="AS58" s="1" t="s">
        <v>86</v>
      </c>
      <c r="AT58" s="1" t="s">
        <v>86</v>
      </c>
      <c r="AU58" s="10" t="s">
        <v>86</v>
      </c>
      <c r="AV58" s="1">
        <v>813.54</v>
      </c>
    </row>
    <row r="59" spans="1:48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406.86599999999999</v>
      </c>
      <c r="Q59" s="1">
        <f t="shared" si="1"/>
        <v>7730.4539999999997</v>
      </c>
      <c r="R59" s="1" t="str">
        <f t="shared" si="2"/>
        <v>high</v>
      </c>
      <c r="S59" s="1" t="str" cm="1">
        <f t="array" ref="S59">_xlfn.IFS(L59&gt;5,"high",L59=5,"medium",L59&lt;5,"low")</f>
        <v>high</v>
      </c>
      <c r="T59" s="10" t="str">
        <f t="shared" si="3"/>
        <v>high</v>
      </c>
      <c r="U59" s="1">
        <f t="shared" si="4"/>
        <v>8565.6</v>
      </c>
      <c r="AB59" s="1">
        <v>10433</v>
      </c>
      <c r="AC59" s="1">
        <v>1954</v>
      </c>
      <c r="AD59" s="2">
        <v>45152</v>
      </c>
      <c r="AE59" s="2">
        <v>45159</v>
      </c>
      <c r="AF59" s="1" t="s">
        <v>15</v>
      </c>
      <c r="AG59" s="1" t="s">
        <v>54</v>
      </c>
      <c r="AH59" s="1" t="s">
        <v>17</v>
      </c>
      <c r="AI59" s="1" t="s">
        <v>18</v>
      </c>
      <c r="AJ59" s="1" t="s">
        <v>49</v>
      </c>
      <c r="AK59" s="1" t="s">
        <v>51</v>
      </c>
      <c r="AL59" s="1" t="s">
        <v>33</v>
      </c>
      <c r="AM59" s="1">
        <v>4</v>
      </c>
      <c r="AN59" s="1">
        <v>3590.5</v>
      </c>
      <c r="AO59" s="1">
        <v>0</v>
      </c>
      <c r="AP59" s="1">
        <v>14362</v>
      </c>
      <c r="AQ59" s="1">
        <v>0</v>
      </c>
      <c r="AR59" s="1">
        <v>14362</v>
      </c>
      <c r="AS59" s="1" t="s">
        <v>86</v>
      </c>
      <c r="AT59" s="1" t="s">
        <v>86</v>
      </c>
      <c r="AU59" s="10" t="s">
        <v>86</v>
      </c>
      <c r="AV59" s="1">
        <v>14362</v>
      </c>
    </row>
    <row r="60" spans="1:48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0</v>
      </c>
      <c r="Q60" s="1">
        <f t="shared" si="1"/>
        <v>16978.88</v>
      </c>
      <c r="R60" s="1" t="str">
        <f t="shared" si="2"/>
        <v>high</v>
      </c>
      <c r="S60" s="1" t="str" cm="1">
        <f t="array" ref="S60">_xlfn.IFS(L60&gt;5,"high",L60=5,"medium",L60&lt;5,"low")</f>
        <v>high</v>
      </c>
      <c r="T60" s="10" t="str">
        <f t="shared" si="3"/>
        <v>high</v>
      </c>
      <c r="U60" s="1">
        <f t="shared" si="4"/>
        <v>16978.88</v>
      </c>
      <c r="AB60" s="1">
        <v>10435</v>
      </c>
      <c r="AC60" s="1">
        <v>1469</v>
      </c>
      <c r="AD60" s="2">
        <v>45002</v>
      </c>
      <c r="AE60" s="2">
        <v>45009</v>
      </c>
      <c r="AF60" s="1" t="s">
        <v>15</v>
      </c>
      <c r="AG60" s="1" t="s">
        <v>29</v>
      </c>
      <c r="AH60" s="1" t="s">
        <v>24</v>
      </c>
      <c r="AI60" s="1" t="s">
        <v>44</v>
      </c>
      <c r="AJ60" s="1" t="s">
        <v>52</v>
      </c>
      <c r="AK60" s="1" t="s">
        <v>56</v>
      </c>
      <c r="AL60" s="1" t="s">
        <v>21</v>
      </c>
      <c r="AM60" s="1">
        <v>3</v>
      </c>
      <c r="AN60" s="1">
        <v>3644.78</v>
      </c>
      <c r="AO60" s="1">
        <v>0</v>
      </c>
      <c r="AP60" s="1">
        <v>10934.34</v>
      </c>
      <c r="AQ60" s="1">
        <v>0</v>
      </c>
      <c r="AR60" s="1">
        <v>10934.34</v>
      </c>
      <c r="AS60" s="1" t="s">
        <v>86</v>
      </c>
      <c r="AT60" s="1" t="s">
        <v>86</v>
      </c>
      <c r="AU60" s="10" t="s">
        <v>86</v>
      </c>
      <c r="AV60" s="1">
        <v>10934.34</v>
      </c>
    </row>
    <row r="61" spans="1:48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3190.8149999999996</v>
      </c>
      <c r="Q61" s="1">
        <f t="shared" si="1"/>
        <v>18081.285</v>
      </c>
      <c r="R61" s="1" t="str">
        <f t="shared" si="2"/>
        <v>high</v>
      </c>
      <c r="S61" s="1" t="str" cm="1">
        <f t="array" ref="S61">_xlfn.IFS(L61&gt;5,"high",L61=5,"medium",L61&lt;5,"low")</f>
        <v>high</v>
      </c>
      <c r="T61" s="10" t="str">
        <f t="shared" si="3"/>
        <v>high</v>
      </c>
      <c r="U61" s="1">
        <f t="shared" si="4"/>
        <v>25026</v>
      </c>
      <c r="AB61" s="1">
        <v>10436</v>
      </c>
      <c r="AC61" s="1">
        <v>1374</v>
      </c>
      <c r="AD61" s="2">
        <v>45212</v>
      </c>
      <c r="AE61" s="2">
        <v>45213</v>
      </c>
      <c r="AF61" s="1" t="s">
        <v>15</v>
      </c>
      <c r="AG61" s="1" t="s">
        <v>23</v>
      </c>
      <c r="AH61" s="1" t="s">
        <v>30</v>
      </c>
      <c r="AI61" s="1" t="s">
        <v>18</v>
      </c>
      <c r="AJ61" s="1" t="s">
        <v>52</v>
      </c>
      <c r="AK61" s="1" t="s">
        <v>60</v>
      </c>
      <c r="AL61" s="1" t="s">
        <v>21</v>
      </c>
      <c r="AM61" s="1">
        <v>3</v>
      </c>
      <c r="AN61" s="1">
        <v>3986.78</v>
      </c>
      <c r="AO61" s="1">
        <v>20</v>
      </c>
      <c r="AP61" s="1">
        <v>9568.27</v>
      </c>
      <c r="AQ61" s="1">
        <v>1913.6540000000002</v>
      </c>
      <c r="AR61" s="1">
        <v>7654.616</v>
      </c>
      <c r="AS61" s="1" t="s">
        <v>86</v>
      </c>
      <c r="AT61" s="1" t="s">
        <v>86</v>
      </c>
      <c r="AU61" s="10" t="s">
        <v>86</v>
      </c>
      <c r="AV61" s="1">
        <v>11960.34</v>
      </c>
    </row>
    <row r="62" spans="1:48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201.32300000000001</v>
      </c>
      <c r="Q62" s="1">
        <f t="shared" si="1"/>
        <v>1811.9069999999999</v>
      </c>
      <c r="R62" s="1" t="str">
        <f t="shared" si="2"/>
        <v>high</v>
      </c>
      <c r="S62" s="1" t="str" cm="1">
        <f t="array" ref="S62">_xlfn.IFS(L62&gt;5,"high",L62=5,"medium",L62&lt;5,"low")</f>
        <v>high</v>
      </c>
      <c r="T62" s="10" t="str">
        <f t="shared" si="3"/>
        <v>high</v>
      </c>
      <c r="U62" s="1">
        <f t="shared" si="4"/>
        <v>2236.92</v>
      </c>
      <c r="AB62" s="1">
        <v>10442</v>
      </c>
      <c r="AC62" s="1">
        <v>1364</v>
      </c>
      <c r="AD62" s="2">
        <v>45089</v>
      </c>
      <c r="AE62" s="2">
        <v>45094</v>
      </c>
      <c r="AF62" s="1" t="s">
        <v>15</v>
      </c>
      <c r="AG62" s="1" t="s">
        <v>23</v>
      </c>
      <c r="AH62" s="1" t="s">
        <v>24</v>
      </c>
      <c r="AI62" s="1" t="s">
        <v>35</v>
      </c>
      <c r="AJ62" s="1" t="s">
        <v>57</v>
      </c>
      <c r="AK62" s="1" t="s">
        <v>58</v>
      </c>
      <c r="AL62" s="1" t="s">
        <v>45</v>
      </c>
      <c r="AM62" s="1">
        <v>9</v>
      </c>
      <c r="AN62" s="1">
        <v>2969.7</v>
      </c>
      <c r="AO62" s="1">
        <v>10</v>
      </c>
      <c r="AP62" s="1">
        <v>24054.57</v>
      </c>
      <c r="AQ62" s="1">
        <v>2405.4569999999999</v>
      </c>
      <c r="AR62" s="1">
        <v>21649.113000000001</v>
      </c>
      <c r="AS62" s="1" t="s">
        <v>84</v>
      </c>
      <c r="AT62" s="1" t="s">
        <v>84</v>
      </c>
      <c r="AU62" s="10" t="s">
        <v>84</v>
      </c>
      <c r="AV62" s="1">
        <v>26727.3</v>
      </c>
    </row>
    <row r="63" spans="1:48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1071.3489999999999</v>
      </c>
      <c r="Q63" s="1">
        <f t="shared" si="1"/>
        <v>20355.631000000001</v>
      </c>
      <c r="R63" s="1" t="str">
        <f t="shared" si="2"/>
        <v>high</v>
      </c>
      <c r="S63" s="1" t="str" cm="1">
        <f t="array" ref="S63">_xlfn.IFS(L63&gt;5,"high",L63=5,"medium",L63&lt;5,"low")</f>
        <v>high</v>
      </c>
      <c r="T63" s="10" t="str">
        <f t="shared" si="3"/>
        <v>high</v>
      </c>
      <c r="U63" s="1">
        <f t="shared" si="4"/>
        <v>22554.720000000001</v>
      </c>
      <c r="AB63" s="1">
        <v>10451</v>
      </c>
      <c r="AC63" s="1">
        <v>1608</v>
      </c>
      <c r="AD63" s="2">
        <v>45102</v>
      </c>
      <c r="AE63" s="2">
        <v>45110</v>
      </c>
      <c r="AF63" s="1" t="s">
        <v>15</v>
      </c>
      <c r="AG63" s="1" t="s">
        <v>29</v>
      </c>
      <c r="AH63" s="1" t="s">
        <v>24</v>
      </c>
      <c r="AI63" s="1" t="s">
        <v>25</v>
      </c>
      <c r="AJ63" s="1" t="s">
        <v>57</v>
      </c>
      <c r="AK63" s="1" t="s">
        <v>59</v>
      </c>
      <c r="AL63" s="1" t="s">
        <v>28</v>
      </c>
      <c r="AM63" s="1">
        <v>7</v>
      </c>
      <c r="AN63" s="1">
        <v>1332.87</v>
      </c>
      <c r="AO63" s="1">
        <v>0</v>
      </c>
      <c r="AP63" s="1">
        <v>9330.09</v>
      </c>
      <c r="AQ63" s="1">
        <v>0</v>
      </c>
      <c r="AR63" s="1">
        <v>9330.09</v>
      </c>
      <c r="AS63" s="1" t="s">
        <v>84</v>
      </c>
      <c r="AT63" s="1" t="s">
        <v>84</v>
      </c>
      <c r="AU63" s="10" t="s">
        <v>84</v>
      </c>
      <c r="AV63" s="1">
        <v>9330.09</v>
      </c>
    </row>
    <row r="64" spans="1:48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1428.683</v>
      </c>
      <c r="Q64" s="1">
        <f t="shared" si="1"/>
        <v>12858.147000000001</v>
      </c>
      <c r="R64" s="1" t="str">
        <f t="shared" si="2"/>
        <v>high</v>
      </c>
      <c r="S64" s="1" t="str" cm="1">
        <f t="array" ref="S64">_xlfn.IFS(L64&gt;5,"high",L64=5,"medium",L64&lt;5,"low")</f>
        <v>high</v>
      </c>
      <c r="T64" s="10" t="str">
        <f t="shared" si="3"/>
        <v>high</v>
      </c>
      <c r="U64" s="1">
        <f t="shared" si="4"/>
        <v>15874.26</v>
      </c>
      <c r="AB64" s="1">
        <v>10455</v>
      </c>
      <c r="AC64" s="1">
        <v>1480</v>
      </c>
      <c r="AD64" s="2">
        <v>45034</v>
      </c>
      <c r="AE64" s="2">
        <v>45036</v>
      </c>
      <c r="AF64" s="1" t="s">
        <v>15</v>
      </c>
      <c r="AG64" s="1" t="s">
        <v>29</v>
      </c>
      <c r="AH64" s="1" t="s">
        <v>17</v>
      </c>
      <c r="AI64" s="1" t="s">
        <v>18</v>
      </c>
      <c r="AJ64" s="1" t="s">
        <v>52</v>
      </c>
      <c r="AK64" s="1" t="s">
        <v>64</v>
      </c>
      <c r="AL64" s="1" t="s">
        <v>45</v>
      </c>
      <c r="AM64" s="1">
        <v>2</v>
      </c>
      <c r="AN64" s="1">
        <v>1374.23</v>
      </c>
      <c r="AO64" s="1">
        <v>0</v>
      </c>
      <c r="AP64" s="1">
        <v>2748.46</v>
      </c>
      <c r="AQ64" s="1">
        <v>0</v>
      </c>
      <c r="AR64" s="1">
        <v>2748.46</v>
      </c>
      <c r="AS64" s="1" t="s">
        <v>86</v>
      </c>
      <c r="AT64" s="1" t="s">
        <v>86</v>
      </c>
      <c r="AU64" s="10" t="s">
        <v>86</v>
      </c>
      <c r="AV64" s="1">
        <v>2748.46</v>
      </c>
    </row>
    <row r="65" spans="1:48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265.50599999999997</v>
      </c>
      <c r="Q65" s="1">
        <f t="shared" si="1"/>
        <v>1504.5340000000001</v>
      </c>
      <c r="R65" s="1" t="str">
        <f t="shared" si="2"/>
        <v>low</v>
      </c>
      <c r="S65" s="1" t="str" cm="1">
        <f t="array" ref="S65">_xlfn.IFS(L65&gt;5,"high",L65=5,"medium",L65&lt;5,"low")</f>
        <v>low</v>
      </c>
      <c r="T65" s="10" t="str">
        <f t="shared" si="3"/>
        <v>low</v>
      </c>
      <c r="U65" s="1">
        <f t="shared" si="4"/>
        <v>2082.4</v>
      </c>
      <c r="AB65" s="1">
        <v>10462</v>
      </c>
      <c r="AC65" s="1">
        <v>1191</v>
      </c>
      <c r="AD65" s="2">
        <v>45198</v>
      </c>
      <c r="AE65" s="2">
        <v>45205</v>
      </c>
      <c r="AF65" s="1" t="s">
        <v>15</v>
      </c>
      <c r="AG65" s="1" t="s">
        <v>38</v>
      </c>
      <c r="AH65" s="1" t="s">
        <v>17</v>
      </c>
      <c r="AI65" s="1" t="s">
        <v>25</v>
      </c>
      <c r="AJ65" s="1" t="s">
        <v>52</v>
      </c>
      <c r="AK65" s="1" t="s">
        <v>64</v>
      </c>
      <c r="AL65" s="1" t="s">
        <v>45</v>
      </c>
      <c r="AM65" s="1">
        <v>6</v>
      </c>
      <c r="AN65" s="1">
        <v>385.25</v>
      </c>
      <c r="AO65" s="1">
        <v>10</v>
      </c>
      <c r="AP65" s="1">
        <v>2080.35</v>
      </c>
      <c r="AQ65" s="1">
        <v>208.035</v>
      </c>
      <c r="AR65" s="1">
        <v>1872.3149999999998</v>
      </c>
      <c r="AS65" s="1" t="s">
        <v>84</v>
      </c>
      <c r="AT65" s="1" t="s">
        <v>84</v>
      </c>
      <c r="AU65" s="10" t="s">
        <v>84</v>
      </c>
      <c r="AV65" s="1">
        <v>2311.5</v>
      </c>
    </row>
    <row r="66" spans="1:48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499.178</v>
      </c>
      <c r="Q66" s="1">
        <f t="shared" si="1"/>
        <v>4492.6019999999999</v>
      </c>
      <c r="R66" s="1" t="str">
        <f t="shared" si="2"/>
        <v>low</v>
      </c>
      <c r="S66" s="1" t="str" cm="1">
        <f t="array" ref="S66">_xlfn.IFS(L66&gt;5,"high",L66=5,"medium",L66&lt;5,"low")</f>
        <v>low</v>
      </c>
      <c r="T66" s="10" t="str">
        <f t="shared" si="3"/>
        <v>low</v>
      </c>
      <c r="U66" s="1">
        <f t="shared" si="4"/>
        <v>5546.42</v>
      </c>
      <c r="AB66" s="1">
        <v>10469</v>
      </c>
      <c r="AC66" s="1">
        <v>1476</v>
      </c>
      <c r="AD66" s="2">
        <v>45050</v>
      </c>
      <c r="AE66" s="2">
        <v>45052</v>
      </c>
      <c r="AF66" s="1" t="s">
        <v>15</v>
      </c>
      <c r="AG66" s="1" t="s">
        <v>41</v>
      </c>
      <c r="AH66" s="1" t="s">
        <v>30</v>
      </c>
      <c r="AI66" s="1" t="s">
        <v>18</v>
      </c>
      <c r="AJ66" s="1" t="s">
        <v>31</v>
      </c>
      <c r="AK66" s="1" t="s">
        <v>48</v>
      </c>
      <c r="AL66" s="1" t="s">
        <v>45</v>
      </c>
      <c r="AM66" s="1">
        <v>5</v>
      </c>
      <c r="AN66" s="1">
        <v>3945.35</v>
      </c>
      <c r="AO66" s="1">
        <v>5</v>
      </c>
      <c r="AP66" s="1">
        <v>18740.41</v>
      </c>
      <c r="AQ66" s="1">
        <v>937.02050000000008</v>
      </c>
      <c r="AR66" s="1">
        <v>17803.389500000001</v>
      </c>
      <c r="AS66" s="1" t="s">
        <v>84</v>
      </c>
      <c r="AT66" s="1" t="s">
        <v>85</v>
      </c>
      <c r="AU66" s="10" t="s">
        <v>85</v>
      </c>
      <c r="AV66" s="1">
        <v>19726.75</v>
      </c>
    </row>
    <row r="67" spans="1:48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5">O67*N67%</f>
        <v>1432.49</v>
      </c>
      <c r="Q67" s="1">
        <f t="shared" ref="Q67:Q130" si="6">O67-P67</f>
        <v>27217.309999999998</v>
      </c>
      <c r="R67" s="1" t="str">
        <f t="shared" ref="R67:R130" si="7">IF(L67&gt;=5,"high","low")</f>
        <v>high</v>
      </c>
      <c r="S67" s="1" t="str" cm="1">
        <f t="array" ref="S67">_xlfn.IFS(L67&gt;5,"high",L67=5,"medium",L67&lt;5,"low")</f>
        <v>high</v>
      </c>
      <c r="T67" s="10" t="str">
        <f t="shared" ref="T67:T130" si="8">IF(L67&gt;5,"high",IF(L67=5,"medium","low"))</f>
        <v>high</v>
      </c>
      <c r="U67" s="1">
        <f t="shared" ref="U67:U130" si="9">L67*M67</f>
        <v>30157.68</v>
      </c>
      <c r="AB67" s="1">
        <v>10472</v>
      </c>
      <c r="AC67" s="1">
        <v>1517</v>
      </c>
      <c r="AD67" s="2">
        <v>45269</v>
      </c>
      <c r="AE67" s="2">
        <v>45278</v>
      </c>
      <c r="AF67" s="1" t="s">
        <v>15</v>
      </c>
      <c r="AG67" s="1" t="s">
        <v>54</v>
      </c>
      <c r="AH67" s="1" t="s">
        <v>30</v>
      </c>
      <c r="AI67" s="1" t="s">
        <v>35</v>
      </c>
      <c r="AJ67" s="1" t="s">
        <v>31</v>
      </c>
      <c r="AK67" s="1" t="s">
        <v>48</v>
      </c>
      <c r="AL67" s="1" t="s">
        <v>28</v>
      </c>
      <c r="AM67" s="1">
        <v>5</v>
      </c>
      <c r="AN67" s="1">
        <v>2523.25</v>
      </c>
      <c r="AO67" s="1">
        <v>10</v>
      </c>
      <c r="AP67" s="1">
        <v>11354.63</v>
      </c>
      <c r="AQ67" s="1">
        <v>1135.463</v>
      </c>
      <c r="AR67" s="1">
        <v>10219.166999999999</v>
      </c>
      <c r="AS67" s="1" t="s">
        <v>84</v>
      </c>
      <c r="AT67" s="1" t="s">
        <v>85</v>
      </c>
      <c r="AU67" s="10" t="s">
        <v>85</v>
      </c>
      <c r="AV67" s="1">
        <v>12616.25</v>
      </c>
    </row>
    <row r="68" spans="1:48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5"/>
        <v>42.091500000000003</v>
      </c>
      <c r="Q68" s="1">
        <f t="shared" si="6"/>
        <v>238.51850000000002</v>
      </c>
      <c r="R68" s="1" t="str">
        <f t="shared" si="7"/>
        <v>low</v>
      </c>
      <c r="S68" s="1" t="str" cm="1">
        <f t="array" ref="S68">_xlfn.IFS(L68&gt;5,"high",L68=5,"medium",L68&lt;5,"low")</f>
        <v>low</v>
      </c>
      <c r="T68" s="10" t="str">
        <f t="shared" si="8"/>
        <v>low</v>
      </c>
      <c r="U68" s="1">
        <f t="shared" si="9"/>
        <v>330.13</v>
      </c>
      <c r="AB68" s="1">
        <v>10490</v>
      </c>
      <c r="AC68" s="1">
        <v>1927</v>
      </c>
      <c r="AD68" s="2">
        <v>45259</v>
      </c>
      <c r="AE68" s="2">
        <v>45261</v>
      </c>
      <c r="AF68" s="1" t="s">
        <v>15</v>
      </c>
      <c r="AG68" s="1" t="s">
        <v>29</v>
      </c>
      <c r="AH68" s="1" t="s">
        <v>17</v>
      </c>
      <c r="AI68" s="1" t="s">
        <v>35</v>
      </c>
      <c r="AJ68" s="1" t="s">
        <v>31</v>
      </c>
      <c r="AK68" s="1" t="s">
        <v>32</v>
      </c>
      <c r="AL68" s="1" t="s">
        <v>45</v>
      </c>
      <c r="AM68" s="1">
        <v>7</v>
      </c>
      <c r="AN68" s="1">
        <v>2838.06</v>
      </c>
      <c r="AO68" s="1">
        <v>20</v>
      </c>
      <c r="AP68" s="1">
        <v>15893.14</v>
      </c>
      <c r="AQ68" s="1">
        <v>3178.6280000000002</v>
      </c>
      <c r="AR68" s="1">
        <v>12714.511999999999</v>
      </c>
      <c r="AS68" s="1" t="s">
        <v>84</v>
      </c>
      <c r="AT68" s="1" t="s">
        <v>84</v>
      </c>
      <c r="AU68" s="10" t="s">
        <v>84</v>
      </c>
      <c r="AV68" s="1">
        <v>19866.419999999998</v>
      </c>
    </row>
    <row r="69" spans="1:48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5"/>
        <v>0</v>
      </c>
      <c r="Q69" s="1">
        <f t="shared" si="6"/>
        <v>8283.9599999999991</v>
      </c>
      <c r="R69" s="1" t="str">
        <f t="shared" si="7"/>
        <v>high</v>
      </c>
      <c r="S69" s="1" t="str" cm="1">
        <f t="array" ref="S69">_xlfn.IFS(L69&gt;5,"high",L69=5,"medium",L69&lt;5,"low")</f>
        <v>high</v>
      </c>
      <c r="T69" s="10" t="str">
        <f t="shared" si="8"/>
        <v>high</v>
      </c>
      <c r="U69" s="1">
        <f t="shared" si="9"/>
        <v>8283.9600000000009</v>
      </c>
      <c r="AB69" s="1">
        <v>10495</v>
      </c>
      <c r="AC69" s="1">
        <v>1127</v>
      </c>
      <c r="AD69" s="2">
        <v>45060</v>
      </c>
      <c r="AE69" s="2">
        <v>45063</v>
      </c>
      <c r="AF69" s="1" t="s">
        <v>15</v>
      </c>
      <c r="AG69" s="1" t="s">
        <v>23</v>
      </c>
      <c r="AH69" s="1" t="s">
        <v>30</v>
      </c>
      <c r="AI69" s="1" t="s">
        <v>25</v>
      </c>
      <c r="AJ69" s="1" t="s">
        <v>57</v>
      </c>
      <c r="AK69" s="1" t="s">
        <v>59</v>
      </c>
      <c r="AL69" s="1" t="s">
        <v>45</v>
      </c>
      <c r="AM69" s="1">
        <v>8</v>
      </c>
      <c r="AN69" s="1">
        <v>598.44000000000005</v>
      </c>
      <c r="AO69" s="1">
        <v>0</v>
      </c>
      <c r="AP69" s="1">
        <v>4787.5200000000004</v>
      </c>
      <c r="AQ69" s="1">
        <v>0</v>
      </c>
      <c r="AR69" s="1">
        <v>4787.5200000000004</v>
      </c>
      <c r="AS69" s="1" t="s">
        <v>84</v>
      </c>
      <c r="AT69" s="1" t="s">
        <v>84</v>
      </c>
      <c r="AU69" s="10" t="s">
        <v>84</v>
      </c>
      <c r="AV69" s="1">
        <v>4787.5200000000004</v>
      </c>
    </row>
    <row r="70" spans="1:48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5"/>
        <v>523.53950000000009</v>
      </c>
      <c r="Q70" s="1">
        <f t="shared" si="6"/>
        <v>9947.2505000000001</v>
      </c>
      <c r="R70" s="1" t="str">
        <f t="shared" si="7"/>
        <v>high</v>
      </c>
      <c r="S70" s="1" t="str" cm="1">
        <f t="array" ref="S70">_xlfn.IFS(L70&gt;5,"high",L70=5,"medium",L70&lt;5,"low")</f>
        <v>high</v>
      </c>
      <c r="T70" s="10" t="str">
        <f t="shared" si="8"/>
        <v>high</v>
      </c>
      <c r="U70" s="1">
        <f t="shared" si="9"/>
        <v>11021.880000000001</v>
      </c>
      <c r="AB70" s="1">
        <v>10496</v>
      </c>
      <c r="AC70" s="1">
        <v>1017</v>
      </c>
      <c r="AD70" s="2">
        <v>45177</v>
      </c>
      <c r="AE70" s="2">
        <v>45178</v>
      </c>
      <c r="AF70" s="1" t="s">
        <v>15</v>
      </c>
      <c r="AG70" s="1" t="s">
        <v>23</v>
      </c>
      <c r="AH70" s="1" t="s">
        <v>17</v>
      </c>
      <c r="AI70" s="1" t="s">
        <v>42</v>
      </c>
      <c r="AJ70" s="1" t="s">
        <v>52</v>
      </c>
      <c r="AK70" s="1" t="s">
        <v>60</v>
      </c>
      <c r="AL70" s="1" t="s">
        <v>45</v>
      </c>
      <c r="AM70" s="1">
        <v>6</v>
      </c>
      <c r="AN70" s="1">
        <v>1128.9100000000001</v>
      </c>
      <c r="AO70" s="1">
        <v>20</v>
      </c>
      <c r="AP70" s="1">
        <v>5418.77</v>
      </c>
      <c r="AQ70" s="1">
        <v>1083.7540000000001</v>
      </c>
      <c r="AR70" s="1">
        <v>4335.0160000000005</v>
      </c>
      <c r="AS70" s="1" t="s">
        <v>84</v>
      </c>
      <c r="AT70" s="1" t="s">
        <v>84</v>
      </c>
      <c r="AU70" s="10" t="s">
        <v>84</v>
      </c>
      <c r="AV70" s="1">
        <v>6773.4600000000009</v>
      </c>
    </row>
    <row r="71" spans="1:48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5"/>
        <v>2311.7759999999998</v>
      </c>
      <c r="Q71" s="1">
        <f t="shared" si="6"/>
        <v>9247.1039999999994</v>
      </c>
      <c r="R71" s="1" t="str">
        <f t="shared" si="7"/>
        <v>low</v>
      </c>
      <c r="S71" s="1" t="str" cm="1">
        <f t="array" ref="S71">_xlfn.IFS(L71&gt;5,"high",L71=5,"medium",L71&lt;5,"low")</f>
        <v>low</v>
      </c>
      <c r="T71" s="10" t="str">
        <f t="shared" si="8"/>
        <v>low</v>
      </c>
      <c r="U71" s="1">
        <f t="shared" si="9"/>
        <v>14448.6</v>
      </c>
      <c r="AB71" s="1">
        <v>10500</v>
      </c>
      <c r="AC71" s="1">
        <v>1569</v>
      </c>
      <c r="AD71" s="2">
        <v>44972</v>
      </c>
      <c r="AE71" s="2">
        <v>44977</v>
      </c>
      <c r="AF71" s="1" t="s">
        <v>15</v>
      </c>
      <c r="AG71" s="1" t="s">
        <v>16</v>
      </c>
      <c r="AH71" s="1" t="s">
        <v>30</v>
      </c>
      <c r="AI71" s="1" t="s">
        <v>42</v>
      </c>
      <c r="AJ71" s="1" t="s">
        <v>31</v>
      </c>
      <c r="AK71" s="1" t="s">
        <v>65</v>
      </c>
      <c r="AL71" s="1" t="s">
        <v>33</v>
      </c>
      <c r="AM71" s="1">
        <v>1</v>
      </c>
      <c r="AN71" s="1">
        <v>2432.17</v>
      </c>
      <c r="AO71" s="1">
        <v>20</v>
      </c>
      <c r="AP71" s="1">
        <v>1945.74</v>
      </c>
      <c r="AQ71" s="1">
        <v>389.14800000000002</v>
      </c>
      <c r="AR71" s="1">
        <v>1556.5920000000001</v>
      </c>
      <c r="AS71" s="1" t="s">
        <v>86</v>
      </c>
      <c r="AT71" s="1" t="s">
        <v>86</v>
      </c>
      <c r="AU71" s="10" t="s">
        <v>86</v>
      </c>
      <c r="AV71" s="1">
        <v>2432.17</v>
      </c>
    </row>
    <row r="72" spans="1:48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5"/>
        <v>549.29600000000005</v>
      </c>
      <c r="Q72" s="1">
        <f t="shared" si="6"/>
        <v>10436.624</v>
      </c>
      <c r="R72" s="1" t="str">
        <f t="shared" si="7"/>
        <v>low</v>
      </c>
      <c r="S72" s="1" t="str" cm="1">
        <f t="array" ref="S72">_xlfn.IFS(L72&gt;5,"high",L72=5,"medium",L72&lt;5,"low")</f>
        <v>low</v>
      </c>
      <c r="T72" s="10" t="str">
        <f t="shared" si="8"/>
        <v>low</v>
      </c>
      <c r="U72" s="1">
        <f t="shared" si="9"/>
        <v>11564.130000000001</v>
      </c>
    </row>
    <row r="73" spans="1:48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5"/>
        <v>711.38850000000002</v>
      </c>
      <c r="Q73" s="1">
        <f t="shared" si="6"/>
        <v>4031.2015000000001</v>
      </c>
      <c r="R73" s="1" t="str">
        <f t="shared" si="7"/>
        <v>low</v>
      </c>
      <c r="S73" s="1" t="str" cm="1">
        <f t="array" ref="S73">_xlfn.IFS(L73&gt;5,"high",L73=5,"medium",L73&lt;5,"low")</f>
        <v>low</v>
      </c>
      <c r="T73" s="10" t="str">
        <f t="shared" si="8"/>
        <v>low</v>
      </c>
      <c r="U73" s="1">
        <f t="shared" si="9"/>
        <v>5579.5199999999995</v>
      </c>
    </row>
    <row r="74" spans="1:48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5"/>
        <v>144.28650000000002</v>
      </c>
      <c r="Q74" s="1">
        <f t="shared" si="6"/>
        <v>2741.4434999999999</v>
      </c>
      <c r="R74" s="1" t="str">
        <f t="shared" si="7"/>
        <v>low</v>
      </c>
      <c r="S74" s="1" t="str" cm="1">
        <f t="array" ref="S74">_xlfn.IFS(L74&gt;5,"high",L74=5,"medium",L74&lt;5,"low")</f>
        <v>low</v>
      </c>
      <c r="T74" s="10" t="str">
        <f t="shared" si="8"/>
        <v>low</v>
      </c>
      <c r="U74" s="1">
        <f t="shared" si="9"/>
        <v>3037.61</v>
      </c>
    </row>
    <row r="75" spans="1:48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5"/>
        <v>0</v>
      </c>
      <c r="Q75" s="1">
        <f t="shared" si="6"/>
        <v>6590.67</v>
      </c>
      <c r="R75" s="1" t="str">
        <f t="shared" si="7"/>
        <v>low</v>
      </c>
      <c r="S75" s="1" t="str" cm="1">
        <f t="array" ref="S75">_xlfn.IFS(L75&gt;5,"high",L75=5,"medium",L75&lt;5,"low")</f>
        <v>low</v>
      </c>
      <c r="T75" s="10" t="str">
        <f t="shared" si="8"/>
        <v>low</v>
      </c>
      <c r="U75" s="1">
        <f t="shared" si="9"/>
        <v>6590.67</v>
      </c>
    </row>
    <row r="76" spans="1:48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5"/>
        <v>0</v>
      </c>
      <c r="Q76" s="1">
        <f t="shared" si="6"/>
        <v>8881.84</v>
      </c>
      <c r="R76" s="1" t="str">
        <f t="shared" si="7"/>
        <v>low</v>
      </c>
      <c r="S76" s="1" t="str" cm="1">
        <f t="array" ref="S76">_xlfn.IFS(L76&gt;5,"high",L76=5,"medium",L76&lt;5,"low")</f>
        <v>low</v>
      </c>
      <c r="T76" s="10" t="str">
        <f t="shared" si="8"/>
        <v>low</v>
      </c>
      <c r="U76" s="1">
        <f t="shared" si="9"/>
        <v>8881.84</v>
      </c>
    </row>
    <row r="77" spans="1:48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5"/>
        <v>976.5440000000001</v>
      </c>
      <c r="Q77" s="1">
        <f t="shared" si="6"/>
        <v>3906.1760000000004</v>
      </c>
      <c r="R77" s="1" t="str">
        <f t="shared" si="7"/>
        <v>high</v>
      </c>
      <c r="S77" s="1" t="str" cm="1">
        <f t="array" ref="S77">_xlfn.IFS(L77&gt;5,"high",L77=5,"medium",L77&lt;5,"low")</f>
        <v>medium</v>
      </c>
      <c r="T77" s="10" t="str">
        <f t="shared" si="8"/>
        <v>medium</v>
      </c>
      <c r="U77" s="1">
        <f t="shared" si="9"/>
        <v>6103.4000000000005</v>
      </c>
    </row>
    <row r="78" spans="1:48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5"/>
        <v>266.02600000000001</v>
      </c>
      <c r="Q78" s="1">
        <f t="shared" si="6"/>
        <v>2394.2340000000004</v>
      </c>
      <c r="R78" s="1" t="str">
        <f t="shared" si="7"/>
        <v>low</v>
      </c>
      <c r="S78" s="1" t="str" cm="1">
        <f t="array" ref="S78">_xlfn.IFS(L78&gt;5,"high",L78=5,"medium",L78&lt;5,"low")</f>
        <v>low</v>
      </c>
      <c r="T78" s="10" t="str">
        <f t="shared" si="8"/>
        <v>low</v>
      </c>
      <c r="U78" s="1">
        <f t="shared" si="9"/>
        <v>2955.84</v>
      </c>
    </row>
    <row r="79" spans="1:48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5"/>
        <v>962.99699999999984</v>
      </c>
      <c r="Q79" s="1">
        <f t="shared" si="6"/>
        <v>5456.9830000000002</v>
      </c>
      <c r="R79" s="1" t="str">
        <f t="shared" si="7"/>
        <v>high</v>
      </c>
      <c r="S79" s="1" t="str" cm="1">
        <f t="array" ref="S79">_xlfn.IFS(L79&gt;5,"high",L79=5,"medium",L79&lt;5,"low")</f>
        <v>high</v>
      </c>
      <c r="T79" s="10" t="str">
        <f t="shared" si="8"/>
        <v>high</v>
      </c>
      <c r="U79" s="1">
        <f t="shared" si="9"/>
        <v>7552.92</v>
      </c>
    </row>
    <row r="80" spans="1:48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5"/>
        <v>1461.06</v>
      </c>
      <c r="Q80" s="1">
        <f t="shared" si="6"/>
        <v>8279.34</v>
      </c>
      <c r="R80" s="1" t="str">
        <f t="shared" si="7"/>
        <v>high</v>
      </c>
      <c r="S80" s="1" t="str" cm="1">
        <f t="array" ref="S80">_xlfn.IFS(L80&gt;5,"high",L80=5,"medium",L80&lt;5,"low")</f>
        <v>medium</v>
      </c>
      <c r="T80" s="10" t="str">
        <f t="shared" si="8"/>
        <v>medium</v>
      </c>
      <c r="U80" s="1">
        <f t="shared" si="9"/>
        <v>11459.300000000001</v>
      </c>
    </row>
    <row r="81" spans="1:21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5"/>
        <v>70.807000000000002</v>
      </c>
      <c r="Q81" s="1">
        <f t="shared" si="6"/>
        <v>637.26300000000003</v>
      </c>
      <c r="R81" s="1" t="str">
        <f t="shared" si="7"/>
        <v>low</v>
      </c>
      <c r="S81" s="1" t="str" cm="1">
        <f t="array" ref="S81">_xlfn.IFS(L81&gt;5,"high",L81=5,"medium",L81&lt;5,"low")</f>
        <v>low</v>
      </c>
      <c r="T81" s="10" t="str">
        <f t="shared" si="8"/>
        <v>low</v>
      </c>
      <c r="U81" s="1">
        <f t="shared" si="9"/>
        <v>786.75</v>
      </c>
    </row>
    <row r="82" spans="1:21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5"/>
        <v>0</v>
      </c>
      <c r="Q82" s="1">
        <f t="shared" si="6"/>
        <v>21857.46</v>
      </c>
      <c r="R82" s="1" t="str">
        <f t="shared" si="7"/>
        <v>high</v>
      </c>
      <c r="S82" s="1" t="str" cm="1">
        <f t="array" ref="S82">_xlfn.IFS(L82&gt;5,"high",L82=5,"medium",L82&lt;5,"low")</f>
        <v>high</v>
      </c>
      <c r="T82" s="10" t="str">
        <f t="shared" si="8"/>
        <v>high</v>
      </c>
      <c r="U82" s="1">
        <f t="shared" si="9"/>
        <v>21857.46</v>
      </c>
    </row>
    <row r="83" spans="1:21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5"/>
        <v>0</v>
      </c>
      <c r="Q83" s="1">
        <f t="shared" si="6"/>
        <v>4510.1400000000003</v>
      </c>
      <c r="R83" s="1" t="str">
        <f t="shared" si="7"/>
        <v>high</v>
      </c>
      <c r="S83" s="1" t="str" cm="1">
        <f t="array" ref="S83">_xlfn.IFS(L83&gt;5,"high",L83=5,"medium",L83&lt;5,"low")</f>
        <v>high</v>
      </c>
      <c r="T83" s="10" t="str">
        <f t="shared" si="8"/>
        <v>high</v>
      </c>
      <c r="U83" s="1">
        <f t="shared" si="9"/>
        <v>4510.1400000000003</v>
      </c>
    </row>
    <row r="84" spans="1:21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5"/>
        <v>378.98900000000003</v>
      </c>
      <c r="Q84" s="1">
        <f t="shared" si="6"/>
        <v>7200.7909999999993</v>
      </c>
      <c r="R84" s="1" t="str">
        <f t="shared" si="7"/>
        <v>high</v>
      </c>
      <c r="S84" s="1" t="str" cm="1">
        <f t="array" ref="S84">_xlfn.IFS(L84&gt;5,"high",L84=5,"medium",L84&lt;5,"low")</f>
        <v>high</v>
      </c>
      <c r="T84" s="10" t="str">
        <f t="shared" si="8"/>
        <v>high</v>
      </c>
      <c r="U84" s="1">
        <f t="shared" si="9"/>
        <v>7978.72</v>
      </c>
    </row>
    <row r="85" spans="1:21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5"/>
        <v>686.51600000000008</v>
      </c>
      <c r="Q85" s="1">
        <f t="shared" si="6"/>
        <v>2746.0639999999999</v>
      </c>
      <c r="R85" s="1" t="str">
        <f t="shared" si="7"/>
        <v>low</v>
      </c>
      <c r="S85" s="1" t="str" cm="1">
        <f t="array" ref="S85">_xlfn.IFS(L85&gt;5,"high",L85=5,"medium",L85&lt;5,"low")</f>
        <v>low</v>
      </c>
      <c r="T85" s="10" t="str">
        <f t="shared" si="8"/>
        <v>low</v>
      </c>
      <c r="U85" s="1">
        <f t="shared" si="9"/>
        <v>4290.72</v>
      </c>
    </row>
    <row r="86" spans="1:21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5"/>
        <v>461.43000000000006</v>
      </c>
      <c r="Q86" s="1">
        <f t="shared" si="6"/>
        <v>1845.72</v>
      </c>
      <c r="R86" s="1" t="str">
        <f t="shared" si="7"/>
        <v>low</v>
      </c>
      <c r="S86" s="1" t="str" cm="1">
        <f t="array" ref="S86">_xlfn.IFS(L86&gt;5,"high",L86=5,"medium",L86&lt;5,"low")</f>
        <v>low</v>
      </c>
      <c r="T86" s="10" t="str">
        <f t="shared" si="8"/>
        <v>low</v>
      </c>
      <c r="U86" s="1">
        <f t="shared" si="9"/>
        <v>2883.94</v>
      </c>
    </row>
    <row r="87" spans="1:21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5"/>
        <v>331.87800000000004</v>
      </c>
      <c r="Q87" s="1">
        <f t="shared" si="6"/>
        <v>1327.5120000000002</v>
      </c>
      <c r="R87" s="1" t="str">
        <f t="shared" si="7"/>
        <v>low</v>
      </c>
      <c r="S87" s="1" t="str" cm="1">
        <f t="array" ref="S87">_xlfn.IFS(L87&gt;5,"high",L87=5,"medium",L87&lt;5,"low")</f>
        <v>low</v>
      </c>
      <c r="T87" s="10" t="str">
        <f t="shared" si="8"/>
        <v>low</v>
      </c>
      <c r="U87" s="1">
        <f t="shared" si="9"/>
        <v>2074.2399999999998</v>
      </c>
    </row>
    <row r="88" spans="1:21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5"/>
        <v>456.5625</v>
      </c>
      <c r="Q88" s="1">
        <f t="shared" si="6"/>
        <v>8674.6875</v>
      </c>
      <c r="R88" s="1" t="str">
        <f t="shared" si="7"/>
        <v>high</v>
      </c>
      <c r="S88" s="1" t="str" cm="1">
        <f t="array" ref="S88">_xlfn.IFS(L88&gt;5,"high",L88=5,"medium",L88&lt;5,"low")</f>
        <v>high</v>
      </c>
      <c r="T88" s="10" t="str">
        <f t="shared" si="8"/>
        <v>high</v>
      </c>
      <c r="U88" s="1">
        <f t="shared" si="9"/>
        <v>9611.84</v>
      </c>
    </row>
    <row r="89" spans="1:21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5"/>
        <v>1862.1120000000001</v>
      </c>
      <c r="Q89" s="1">
        <f t="shared" si="6"/>
        <v>7448.4479999999994</v>
      </c>
      <c r="R89" s="1" t="str">
        <f t="shared" si="7"/>
        <v>low</v>
      </c>
      <c r="S89" s="1" t="str" cm="1">
        <f t="array" ref="S89">_xlfn.IFS(L89&gt;5,"high",L89=5,"medium",L89&lt;5,"low")</f>
        <v>low</v>
      </c>
      <c r="T89" s="10" t="str">
        <f t="shared" si="8"/>
        <v>low</v>
      </c>
      <c r="U89" s="1">
        <f t="shared" si="9"/>
        <v>11638.2</v>
      </c>
    </row>
    <row r="90" spans="1:21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5"/>
        <v>313.20500000000004</v>
      </c>
      <c r="Q90" s="1">
        <f t="shared" si="6"/>
        <v>2818.8450000000003</v>
      </c>
      <c r="R90" s="1" t="str">
        <f t="shared" si="7"/>
        <v>low</v>
      </c>
      <c r="S90" s="1" t="str" cm="1">
        <f t="array" ref="S90">_xlfn.IFS(L90&gt;5,"high",L90=5,"medium",L90&lt;5,"low")</f>
        <v>low</v>
      </c>
      <c r="T90" s="10" t="str">
        <f t="shared" si="8"/>
        <v>low</v>
      </c>
      <c r="U90" s="1">
        <f t="shared" si="9"/>
        <v>3480.06</v>
      </c>
    </row>
    <row r="91" spans="1:21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5"/>
        <v>321.86950000000002</v>
      </c>
      <c r="Q91" s="1">
        <f t="shared" si="6"/>
        <v>6115.5205000000005</v>
      </c>
      <c r="R91" s="1" t="str">
        <f t="shared" si="7"/>
        <v>high</v>
      </c>
      <c r="S91" s="1" t="str" cm="1">
        <f t="array" ref="S91">_xlfn.IFS(L91&gt;5,"high",L91=5,"medium",L91&lt;5,"low")</f>
        <v>medium</v>
      </c>
      <c r="T91" s="10" t="str">
        <f t="shared" si="8"/>
        <v>medium</v>
      </c>
      <c r="U91" s="1">
        <f t="shared" si="9"/>
        <v>6776.2</v>
      </c>
    </row>
    <row r="92" spans="1:21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5"/>
        <v>1516.7340000000002</v>
      </c>
      <c r="Q92" s="1">
        <f t="shared" si="6"/>
        <v>13650.606</v>
      </c>
      <c r="R92" s="1" t="str">
        <f t="shared" si="7"/>
        <v>high</v>
      </c>
      <c r="S92" s="1" t="str" cm="1">
        <f t="array" ref="S92">_xlfn.IFS(L92&gt;5,"high",L92=5,"medium",L92&lt;5,"low")</f>
        <v>medium</v>
      </c>
      <c r="T92" s="10" t="str">
        <f t="shared" si="8"/>
        <v>medium</v>
      </c>
      <c r="U92" s="1">
        <f t="shared" si="9"/>
        <v>16852.599999999999</v>
      </c>
    </row>
    <row r="93" spans="1:21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5"/>
        <v>48.924500000000002</v>
      </c>
      <c r="Q93" s="1">
        <f t="shared" si="6"/>
        <v>929.56550000000004</v>
      </c>
      <c r="R93" s="1" t="str">
        <f t="shared" si="7"/>
        <v>low</v>
      </c>
      <c r="S93" s="1" t="str" cm="1">
        <f t="array" ref="S93">_xlfn.IFS(L93&gt;5,"high",L93=5,"medium",L93&lt;5,"low")</f>
        <v>low</v>
      </c>
      <c r="T93" s="10" t="str">
        <f t="shared" si="8"/>
        <v>low</v>
      </c>
      <c r="U93" s="1">
        <f t="shared" si="9"/>
        <v>1029.99</v>
      </c>
    </row>
    <row r="94" spans="1:21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5"/>
        <v>2791.8140000000003</v>
      </c>
      <c r="Q94" s="1">
        <f t="shared" si="6"/>
        <v>11167.255999999999</v>
      </c>
      <c r="R94" s="1" t="str">
        <f t="shared" si="7"/>
        <v>high</v>
      </c>
      <c r="S94" s="1" t="str" cm="1">
        <f t="array" ref="S94">_xlfn.IFS(L94&gt;5,"high",L94=5,"medium",L94&lt;5,"low")</f>
        <v>high</v>
      </c>
      <c r="T94" s="10" t="str">
        <f t="shared" si="8"/>
        <v>high</v>
      </c>
      <c r="U94" s="1">
        <f t="shared" si="9"/>
        <v>17448.84</v>
      </c>
    </row>
    <row r="95" spans="1:21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5"/>
        <v>580.14700000000005</v>
      </c>
      <c r="Q95" s="1">
        <f t="shared" si="6"/>
        <v>5221.3230000000003</v>
      </c>
      <c r="R95" s="1" t="str">
        <f t="shared" si="7"/>
        <v>low</v>
      </c>
      <c r="S95" s="1" t="str" cm="1">
        <f t="array" ref="S95">_xlfn.IFS(L95&gt;5,"high",L95=5,"medium",L95&lt;5,"low")</f>
        <v>low</v>
      </c>
      <c r="T95" s="10" t="str">
        <f t="shared" si="8"/>
        <v>low</v>
      </c>
      <c r="U95" s="1">
        <f t="shared" si="9"/>
        <v>6446.08</v>
      </c>
    </row>
    <row r="96" spans="1:21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5"/>
        <v>369.59200000000004</v>
      </c>
      <c r="Q96" s="1">
        <f t="shared" si="6"/>
        <v>3326.328</v>
      </c>
      <c r="R96" s="1" t="str">
        <f t="shared" si="7"/>
        <v>low</v>
      </c>
      <c r="S96" s="1" t="str" cm="1">
        <f t="array" ref="S96">_xlfn.IFS(L96&gt;5,"high",L96=5,"medium",L96&lt;5,"low")</f>
        <v>low</v>
      </c>
      <c r="T96" s="10" t="str">
        <f t="shared" si="8"/>
        <v>low</v>
      </c>
      <c r="U96" s="1">
        <f t="shared" si="9"/>
        <v>4106.58</v>
      </c>
    </row>
    <row r="97" spans="1:21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5"/>
        <v>224.989</v>
      </c>
      <c r="Q97" s="1">
        <f t="shared" si="6"/>
        <v>2024.9009999999998</v>
      </c>
      <c r="R97" s="1" t="str">
        <f t="shared" si="7"/>
        <v>low</v>
      </c>
      <c r="S97" s="1" t="str" cm="1">
        <f t="array" ref="S97">_xlfn.IFS(L97&gt;5,"high",L97=5,"medium",L97&lt;5,"low")</f>
        <v>low</v>
      </c>
      <c r="T97" s="10" t="str">
        <f t="shared" si="8"/>
        <v>low</v>
      </c>
      <c r="U97" s="1">
        <f t="shared" si="9"/>
        <v>2499.88</v>
      </c>
    </row>
    <row r="98" spans="1:21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5"/>
        <v>214.51500000000001</v>
      </c>
      <c r="Q98" s="1">
        <f t="shared" si="6"/>
        <v>4075.7850000000003</v>
      </c>
      <c r="R98" s="1" t="str">
        <f t="shared" si="7"/>
        <v>high</v>
      </c>
      <c r="S98" s="1" t="str" cm="1">
        <f t="array" ref="S98">_xlfn.IFS(L98&gt;5,"high",L98=5,"medium",L98&lt;5,"low")</f>
        <v>high</v>
      </c>
      <c r="T98" s="10" t="str">
        <f t="shared" si="8"/>
        <v>high</v>
      </c>
      <c r="U98" s="1">
        <f t="shared" si="9"/>
        <v>4516.1100000000006</v>
      </c>
    </row>
    <row r="99" spans="1:21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5"/>
        <v>694.66049999999996</v>
      </c>
      <c r="Q99" s="1">
        <f t="shared" si="6"/>
        <v>3936.4094999999998</v>
      </c>
      <c r="R99" s="1" t="str">
        <f t="shared" si="7"/>
        <v>low</v>
      </c>
      <c r="S99" s="1" t="str" cm="1">
        <f t="array" ref="S99">_xlfn.IFS(L99&gt;5,"high",L99=5,"medium",L99&lt;5,"low")</f>
        <v>low</v>
      </c>
      <c r="T99" s="10" t="str">
        <f t="shared" si="8"/>
        <v>low</v>
      </c>
      <c r="U99" s="1">
        <f t="shared" si="9"/>
        <v>5448.32</v>
      </c>
    </row>
    <row r="100" spans="1:21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5"/>
        <v>151.56</v>
      </c>
      <c r="Q100" s="1">
        <f t="shared" si="6"/>
        <v>606.24</v>
      </c>
      <c r="R100" s="1" t="str">
        <f t="shared" si="7"/>
        <v>low</v>
      </c>
      <c r="S100" s="1" t="str" cm="1">
        <f t="array" ref="S100">_xlfn.IFS(L100&gt;5,"high",L100=5,"medium",L100&lt;5,"low")</f>
        <v>low</v>
      </c>
      <c r="T100" s="10" t="str">
        <f t="shared" si="8"/>
        <v>low</v>
      </c>
      <c r="U100" s="1">
        <f t="shared" si="9"/>
        <v>947.25</v>
      </c>
    </row>
    <row r="101" spans="1:21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5"/>
        <v>1988.7270000000001</v>
      </c>
      <c r="Q101" s="1">
        <f t="shared" si="6"/>
        <v>17898.543000000001</v>
      </c>
      <c r="R101" s="1" t="str">
        <f t="shared" si="7"/>
        <v>high</v>
      </c>
      <c r="S101" s="1" t="str" cm="1">
        <f t="array" ref="S101">_xlfn.IFS(L101&gt;5,"high",L101=5,"medium",L101&lt;5,"low")</f>
        <v>high</v>
      </c>
      <c r="T101" s="10" t="str">
        <f t="shared" si="8"/>
        <v>high</v>
      </c>
      <c r="U101" s="1">
        <f t="shared" si="9"/>
        <v>22096.97</v>
      </c>
    </row>
    <row r="102" spans="1:21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5"/>
        <v>1716.8430000000001</v>
      </c>
      <c r="Q102" s="1">
        <f t="shared" si="6"/>
        <v>9728.777</v>
      </c>
      <c r="R102" s="1" t="str">
        <f t="shared" si="7"/>
        <v>high</v>
      </c>
      <c r="S102" s="1" t="str" cm="1">
        <f t="array" ref="S102">_xlfn.IFS(L102&gt;5,"high",L102=5,"medium",L102&lt;5,"low")</f>
        <v>high</v>
      </c>
      <c r="T102" s="10" t="str">
        <f t="shared" si="8"/>
        <v>high</v>
      </c>
      <c r="U102" s="1">
        <f t="shared" si="9"/>
        <v>13465.44</v>
      </c>
    </row>
    <row r="103" spans="1:21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5"/>
        <v>594.89</v>
      </c>
      <c r="Q103" s="1">
        <f t="shared" si="6"/>
        <v>2379.56</v>
      </c>
      <c r="R103" s="1" t="str">
        <f t="shared" si="7"/>
        <v>low</v>
      </c>
      <c r="S103" s="1" t="str" cm="1">
        <f t="array" ref="S103">_xlfn.IFS(L103&gt;5,"high",L103=5,"medium",L103&lt;5,"low")</f>
        <v>low</v>
      </c>
      <c r="T103" s="10" t="str">
        <f t="shared" si="8"/>
        <v>low</v>
      </c>
      <c r="U103" s="1">
        <f t="shared" si="9"/>
        <v>3718.06</v>
      </c>
    </row>
    <row r="104" spans="1:21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5"/>
        <v>4021.1800000000003</v>
      </c>
      <c r="Q104" s="1">
        <f t="shared" si="6"/>
        <v>16084.720000000001</v>
      </c>
      <c r="R104" s="1" t="str">
        <f t="shared" si="7"/>
        <v>high</v>
      </c>
      <c r="S104" s="1" t="str" cm="1">
        <f t="array" ref="S104">_xlfn.IFS(L104&gt;5,"high",L104=5,"medium",L104&lt;5,"low")</f>
        <v>high</v>
      </c>
      <c r="T104" s="10" t="str">
        <f t="shared" si="8"/>
        <v>high</v>
      </c>
      <c r="U104" s="1">
        <f t="shared" si="9"/>
        <v>25132.38</v>
      </c>
    </row>
    <row r="105" spans="1:21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5"/>
        <v>1207.5790000000002</v>
      </c>
      <c r="Q105" s="1">
        <f t="shared" si="6"/>
        <v>10868.211000000001</v>
      </c>
      <c r="R105" s="1" t="str">
        <f t="shared" si="7"/>
        <v>high</v>
      </c>
      <c r="S105" s="1" t="str" cm="1">
        <f t="array" ref="S105">_xlfn.IFS(L105&gt;5,"high",L105=5,"medium",L105&lt;5,"low")</f>
        <v>medium</v>
      </c>
      <c r="T105" s="10" t="str">
        <f t="shared" si="8"/>
        <v>medium</v>
      </c>
      <c r="U105" s="1">
        <f t="shared" si="9"/>
        <v>13417.550000000001</v>
      </c>
    </row>
    <row r="106" spans="1:21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5"/>
        <v>81.463000000000008</v>
      </c>
      <c r="Q106" s="1">
        <f t="shared" si="6"/>
        <v>733.16700000000003</v>
      </c>
      <c r="R106" s="1" t="str">
        <f t="shared" si="7"/>
        <v>high</v>
      </c>
      <c r="S106" s="1" t="str" cm="1">
        <f t="array" ref="S106">_xlfn.IFS(L106&gt;5,"high",L106=5,"medium",L106&lt;5,"low")</f>
        <v>medium</v>
      </c>
      <c r="T106" s="10" t="str">
        <f t="shared" si="8"/>
        <v>medium</v>
      </c>
      <c r="U106" s="1">
        <f t="shared" si="9"/>
        <v>905.15</v>
      </c>
    </row>
    <row r="107" spans="1:21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5"/>
        <v>538.82399999999996</v>
      </c>
      <c r="Q107" s="1">
        <f t="shared" si="6"/>
        <v>10237.655999999999</v>
      </c>
      <c r="R107" s="1" t="str">
        <f t="shared" si="7"/>
        <v>low</v>
      </c>
      <c r="S107" s="1" t="str" cm="1">
        <f t="array" ref="S107">_xlfn.IFS(L107&gt;5,"high",L107=5,"medium",L107&lt;5,"low")</f>
        <v>low</v>
      </c>
      <c r="T107" s="10" t="str">
        <f t="shared" si="8"/>
        <v>low</v>
      </c>
      <c r="U107" s="1">
        <f t="shared" si="9"/>
        <v>11343.66</v>
      </c>
    </row>
    <row r="108" spans="1:21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5"/>
        <v>677.66849999999999</v>
      </c>
      <c r="Q108" s="1">
        <f t="shared" si="6"/>
        <v>3840.1215000000002</v>
      </c>
      <c r="R108" s="1" t="str">
        <f t="shared" si="7"/>
        <v>high</v>
      </c>
      <c r="S108" s="1" t="str" cm="1">
        <f t="array" ref="S108">_xlfn.IFS(L108&gt;5,"high",L108=5,"medium",L108&lt;5,"low")</f>
        <v>medium</v>
      </c>
      <c r="T108" s="10" t="str">
        <f t="shared" si="8"/>
        <v>medium</v>
      </c>
      <c r="U108" s="1">
        <f t="shared" si="9"/>
        <v>5315.05</v>
      </c>
    </row>
    <row r="109" spans="1:21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5"/>
        <v>143.89949999999999</v>
      </c>
      <c r="Q109" s="1">
        <f t="shared" si="6"/>
        <v>815.43050000000005</v>
      </c>
      <c r="R109" s="1" t="str">
        <f t="shared" si="7"/>
        <v>low</v>
      </c>
      <c r="S109" s="1" t="str" cm="1">
        <f t="array" ref="S109">_xlfn.IFS(L109&gt;5,"high",L109=5,"medium",L109&lt;5,"low")</f>
        <v>low</v>
      </c>
      <c r="T109" s="10" t="str">
        <f t="shared" si="8"/>
        <v>low</v>
      </c>
      <c r="U109" s="1">
        <f t="shared" si="9"/>
        <v>1128.6199999999999</v>
      </c>
    </row>
    <row r="110" spans="1:21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5"/>
        <v>1118.624</v>
      </c>
      <c r="Q110" s="1">
        <f t="shared" si="6"/>
        <v>10067.616</v>
      </c>
      <c r="R110" s="1" t="str">
        <f t="shared" si="7"/>
        <v>low</v>
      </c>
      <c r="S110" s="1" t="str" cm="1">
        <f t="array" ref="S110">_xlfn.IFS(L110&gt;5,"high",L110=5,"medium",L110&lt;5,"low")</f>
        <v>low</v>
      </c>
      <c r="T110" s="10" t="str">
        <f t="shared" si="8"/>
        <v>low</v>
      </c>
      <c r="U110" s="1">
        <f t="shared" si="9"/>
        <v>12429.16</v>
      </c>
    </row>
    <row r="111" spans="1:21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5"/>
        <v>1993.7660000000001</v>
      </c>
      <c r="Q111" s="1">
        <f t="shared" si="6"/>
        <v>7975.0640000000003</v>
      </c>
      <c r="R111" s="1" t="str">
        <f t="shared" si="7"/>
        <v>high</v>
      </c>
      <c r="S111" s="1" t="str" cm="1">
        <f t="array" ref="S111">_xlfn.IFS(L111&gt;5,"high",L111=5,"medium",L111&lt;5,"low")</f>
        <v>high</v>
      </c>
      <c r="T111" s="10" t="str">
        <f t="shared" si="8"/>
        <v>high</v>
      </c>
      <c r="U111" s="1">
        <f t="shared" si="9"/>
        <v>12461.04</v>
      </c>
    </row>
    <row r="112" spans="1:21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5"/>
        <v>163.80200000000002</v>
      </c>
      <c r="Q112" s="1">
        <f t="shared" si="6"/>
        <v>1474.2179999999998</v>
      </c>
      <c r="R112" s="1" t="str">
        <f t="shared" si="7"/>
        <v>low</v>
      </c>
      <c r="S112" s="1" t="str" cm="1">
        <f t="array" ref="S112">_xlfn.IFS(L112&gt;5,"high",L112=5,"medium",L112&lt;5,"low")</f>
        <v>low</v>
      </c>
      <c r="T112" s="10" t="str">
        <f t="shared" si="8"/>
        <v>low</v>
      </c>
      <c r="U112" s="1">
        <f t="shared" si="9"/>
        <v>1820.02</v>
      </c>
    </row>
    <row r="113" spans="1:21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5"/>
        <v>710.77800000000002</v>
      </c>
      <c r="Q113" s="1">
        <f t="shared" si="6"/>
        <v>2843.1120000000001</v>
      </c>
      <c r="R113" s="1" t="str">
        <f t="shared" si="7"/>
        <v>low</v>
      </c>
      <c r="S113" s="1" t="str" cm="1">
        <f t="array" ref="S113">_xlfn.IFS(L113&gt;5,"high",L113=5,"medium",L113&lt;5,"low")</f>
        <v>low</v>
      </c>
      <c r="T113" s="10" t="str">
        <f t="shared" si="8"/>
        <v>low</v>
      </c>
      <c r="U113" s="1">
        <f t="shared" si="9"/>
        <v>4442.3599999999997</v>
      </c>
    </row>
    <row r="114" spans="1:21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5"/>
        <v>2167.46</v>
      </c>
      <c r="Q114" s="1">
        <f t="shared" si="6"/>
        <v>8669.84</v>
      </c>
      <c r="R114" s="1" t="str">
        <f t="shared" si="7"/>
        <v>high</v>
      </c>
      <c r="S114" s="1" t="str" cm="1">
        <f t="array" ref="S114">_xlfn.IFS(L114&gt;5,"high",L114=5,"medium",L114&lt;5,"low")</f>
        <v>high</v>
      </c>
      <c r="T114" s="10" t="str">
        <f t="shared" si="8"/>
        <v>high</v>
      </c>
      <c r="U114" s="1">
        <f t="shared" si="9"/>
        <v>13546.619999999999</v>
      </c>
    </row>
    <row r="115" spans="1:21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5"/>
        <v>977.16800000000012</v>
      </c>
      <c r="Q115" s="1">
        <f t="shared" si="6"/>
        <v>8794.5120000000006</v>
      </c>
      <c r="R115" s="1" t="str">
        <f t="shared" si="7"/>
        <v>high</v>
      </c>
      <c r="S115" s="1" t="str" cm="1">
        <f t="array" ref="S115">_xlfn.IFS(L115&gt;5,"high",L115=5,"medium",L115&lt;5,"low")</f>
        <v>high</v>
      </c>
      <c r="T115" s="10" t="str">
        <f t="shared" si="8"/>
        <v>high</v>
      </c>
      <c r="U115" s="1">
        <f t="shared" si="9"/>
        <v>10857.420000000002</v>
      </c>
    </row>
    <row r="116" spans="1:21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5"/>
        <v>0</v>
      </c>
      <c r="Q116" s="1">
        <f t="shared" si="6"/>
        <v>7242.18</v>
      </c>
      <c r="R116" s="1" t="str">
        <f t="shared" si="7"/>
        <v>low</v>
      </c>
      <c r="S116" s="1" t="str" cm="1">
        <f t="array" ref="S116">_xlfn.IFS(L116&gt;5,"high",L116=5,"medium",L116&lt;5,"low")</f>
        <v>low</v>
      </c>
      <c r="T116" s="10" t="str">
        <f t="shared" si="8"/>
        <v>low</v>
      </c>
      <c r="U116" s="1">
        <f t="shared" si="9"/>
        <v>7242.18</v>
      </c>
    </row>
    <row r="117" spans="1:21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5"/>
        <v>873.34649999999999</v>
      </c>
      <c r="Q117" s="1">
        <f t="shared" si="6"/>
        <v>4948.9635000000007</v>
      </c>
      <c r="R117" s="1" t="str">
        <f t="shared" si="7"/>
        <v>high</v>
      </c>
      <c r="S117" s="1" t="str" cm="1">
        <f t="array" ref="S117">_xlfn.IFS(L117&gt;5,"high",L117=5,"medium",L117&lt;5,"low")</f>
        <v>high</v>
      </c>
      <c r="T117" s="10" t="str">
        <f t="shared" si="8"/>
        <v>high</v>
      </c>
      <c r="U117" s="1">
        <f t="shared" si="9"/>
        <v>6849.78</v>
      </c>
    </row>
    <row r="118" spans="1:21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5"/>
        <v>3412.5800000000004</v>
      </c>
      <c r="Q118" s="1">
        <f t="shared" si="6"/>
        <v>13650.320000000002</v>
      </c>
      <c r="R118" s="1" t="str">
        <f t="shared" si="7"/>
        <v>high</v>
      </c>
      <c r="S118" s="1" t="str" cm="1">
        <f t="array" ref="S118">_xlfn.IFS(L118&gt;5,"high",L118=5,"medium",L118&lt;5,"low")</f>
        <v>high</v>
      </c>
      <c r="T118" s="10" t="str">
        <f t="shared" si="8"/>
        <v>high</v>
      </c>
      <c r="U118" s="1">
        <f t="shared" si="9"/>
        <v>21328.62</v>
      </c>
    </row>
    <row r="119" spans="1:21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5"/>
        <v>737.1880000000001</v>
      </c>
      <c r="Q119" s="1">
        <f t="shared" si="6"/>
        <v>2948.752</v>
      </c>
      <c r="R119" s="1" t="str">
        <f t="shared" si="7"/>
        <v>low</v>
      </c>
      <c r="S119" s="1" t="str" cm="1">
        <f t="array" ref="S119">_xlfn.IFS(L119&gt;5,"high",L119=5,"medium",L119&lt;5,"low")</f>
        <v>low</v>
      </c>
      <c r="T119" s="10" t="str">
        <f t="shared" si="8"/>
        <v>low</v>
      </c>
      <c r="U119" s="1">
        <f t="shared" si="9"/>
        <v>4607.42</v>
      </c>
    </row>
    <row r="120" spans="1:21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5"/>
        <v>0</v>
      </c>
      <c r="Q120" s="1">
        <f t="shared" si="6"/>
        <v>26717.439999999999</v>
      </c>
      <c r="R120" s="1" t="str">
        <f t="shared" si="7"/>
        <v>high</v>
      </c>
      <c r="S120" s="1" t="str" cm="1">
        <f t="array" ref="S120">_xlfn.IFS(L120&gt;5,"high",L120=5,"medium",L120&lt;5,"low")</f>
        <v>high</v>
      </c>
      <c r="T120" s="10" t="str">
        <f t="shared" si="8"/>
        <v>high</v>
      </c>
      <c r="U120" s="1">
        <f t="shared" si="9"/>
        <v>26717.439999999999</v>
      </c>
    </row>
    <row r="121" spans="1:21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5"/>
        <v>962.40800000000002</v>
      </c>
      <c r="Q121" s="1">
        <f t="shared" si="6"/>
        <v>18285.752</v>
      </c>
      <c r="R121" s="1" t="str">
        <f t="shared" si="7"/>
        <v>high</v>
      </c>
      <c r="S121" s="1" t="str" cm="1">
        <f t="array" ref="S121">_xlfn.IFS(L121&gt;5,"high",L121=5,"medium",L121&lt;5,"low")</f>
        <v>high</v>
      </c>
      <c r="T121" s="10" t="str">
        <f t="shared" si="8"/>
        <v>high</v>
      </c>
      <c r="U121" s="1">
        <f t="shared" si="9"/>
        <v>20261.22</v>
      </c>
    </row>
    <row r="122" spans="1:21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5"/>
        <v>0</v>
      </c>
      <c r="Q122" s="1">
        <f t="shared" si="6"/>
        <v>14161.4</v>
      </c>
      <c r="R122" s="1" t="str">
        <f t="shared" si="7"/>
        <v>high</v>
      </c>
      <c r="S122" s="1" t="str" cm="1">
        <f t="array" ref="S122">_xlfn.IFS(L122&gt;5,"high",L122=5,"medium",L122&lt;5,"low")</f>
        <v>medium</v>
      </c>
      <c r="T122" s="10" t="str">
        <f t="shared" si="8"/>
        <v>medium</v>
      </c>
      <c r="U122" s="1">
        <f t="shared" si="9"/>
        <v>14161.400000000001</v>
      </c>
    </row>
    <row r="123" spans="1:21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5"/>
        <v>0</v>
      </c>
      <c r="Q123" s="1">
        <f t="shared" si="6"/>
        <v>6993.65</v>
      </c>
      <c r="R123" s="1" t="str">
        <f t="shared" si="7"/>
        <v>high</v>
      </c>
      <c r="S123" s="1" t="str" cm="1">
        <f t="array" ref="S123">_xlfn.IFS(L123&gt;5,"high",L123=5,"medium",L123&lt;5,"low")</f>
        <v>medium</v>
      </c>
      <c r="T123" s="10" t="str">
        <f t="shared" si="8"/>
        <v>medium</v>
      </c>
      <c r="U123" s="1">
        <f t="shared" si="9"/>
        <v>6993.65</v>
      </c>
    </row>
    <row r="124" spans="1:21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5"/>
        <v>1176.5600000000002</v>
      </c>
      <c r="Q124" s="1">
        <f t="shared" si="6"/>
        <v>4706.24</v>
      </c>
      <c r="R124" s="1" t="str">
        <f t="shared" si="7"/>
        <v>high</v>
      </c>
      <c r="S124" s="1" t="str" cm="1">
        <f t="array" ref="S124">_xlfn.IFS(L124&gt;5,"high",L124=5,"medium",L124&lt;5,"low")</f>
        <v>high</v>
      </c>
      <c r="T124" s="10" t="str">
        <f t="shared" si="8"/>
        <v>high</v>
      </c>
      <c r="U124" s="1">
        <f t="shared" si="9"/>
        <v>7353.5</v>
      </c>
    </row>
    <row r="125" spans="1:21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5"/>
        <v>1103.7914999999998</v>
      </c>
      <c r="Q125" s="1">
        <f t="shared" si="6"/>
        <v>6254.8184999999994</v>
      </c>
      <c r="R125" s="1" t="str">
        <f t="shared" si="7"/>
        <v>high</v>
      </c>
      <c r="S125" s="1" t="str" cm="1">
        <f t="array" ref="S125">_xlfn.IFS(L125&gt;5,"high",L125=5,"medium",L125&lt;5,"low")</f>
        <v>high</v>
      </c>
      <c r="T125" s="10" t="str">
        <f t="shared" si="8"/>
        <v>high</v>
      </c>
      <c r="U125" s="1">
        <f t="shared" si="9"/>
        <v>8657.19</v>
      </c>
    </row>
    <row r="126" spans="1:21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5"/>
        <v>0</v>
      </c>
      <c r="Q126" s="1">
        <f t="shared" si="6"/>
        <v>31051.71</v>
      </c>
      <c r="R126" s="1" t="str">
        <f t="shared" si="7"/>
        <v>high</v>
      </c>
      <c r="S126" s="1" t="str" cm="1">
        <f t="array" ref="S126">_xlfn.IFS(L126&gt;5,"high",L126=5,"medium",L126&lt;5,"low")</f>
        <v>high</v>
      </c>
      <c r="T126" s="10" t="str">
        <f t="shared" si="8"/>
        <v>high</v>
      </c>
      <c r="U126" s="1">
        <f t="shared" si="9"/>
        <v>31051.71</v>
      </c>
    </row>
    <row r="127" spans="1:21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5"/>
        <v>1414.4435000000001</v>
      </c>
      <c r="Q127" s="1">
        <f t="shared" si="6"/>
        <v>26874.426499999998</v>
      </c>
      <c r="R127" s="1" t="str">
        <f t="shared" si="7"/>
        <v>high</v>
      </c>
      <c r="S127" s="1" t="str" cm="1">
        <f t="array" ref="S127">_xlfn.IFS(L127&gt;5,"high",L127=5,"medium",L127&lt;5,"low")</f>
        <v>high</v>
      </c>
      <c r="T127" s="10" t="str">
        <f t="shared" si="8"/>
        <v>high</v>
      </c>
      <c r="U127" s="1">
        <f t="shared" si="9"/>
        <v>29777.759999999998</v>
      </c>
    </row>
    <row r="128" spans="1:21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5"/>
        <v>996.95300000000009</v>
      </c>
      <c r="Q128" s="1">
        <f t="shared" si="6"/>
        <v>8972.5770000000011</v>
      </c>
      <c r="R128" s="1" t="str">
        <f t="shared" si="7"/>
        <v>high</v>
      </c>
      <c r="S128" s="1" t="str" cm="1">
        <f t="array" ref="S128">_xlfn.IFS(L128&gt;5,"high",L128=5,"medium",L128&lt;5,"low")</f>
        <v>high</v>
      </c>
      <c r="T128" s="10" t="str">
        <f t="shared" si="8"/>
        <v>high</v>
      </c>
      <c r="U128" s="1">
        <f t="shared" si="9"/>
        <v>11077.26</v>
      </c>
    </row>
    <row r="129" spans="1:21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5"/>
        <v>0</v>
      </c>
      <c r="Q129" s="1">
        <f t="shared" si="6"/>
        <v>3958.56</v>
      </c>
      <c r="R129" s="1" t="str">
        <f t="shared" si="7"/>
        <v>high</v>
      </c>
      <c r="S129" s="1" t="str" cm="1">
        <f t="array" ref="S129">_xlfn.IFS(L129&gt;5,"high",L129=5,"medium",L129&lt;5,"low")</f>
        <v>high</v>
      </c>
      <c r="T129" s="10" t="str">
        <f t="shared" si="8"/>
        <v>high</v>
      </c>
      <c r="U129" s="1">
        <f t="shared" si="9"/>
        <v>3958.56</v>
      </c>
    </row>
    <row r="130" spans="1:21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5"/>
        <v>0</v>
      </c>
      <c r="Q130" s="1">
        <f t="shared" si="6"/>
        <v>4865.01</v>
      </c>
      <c r="R130" s="1" t="str">
        <f t="shared" si="7"/>
        <v>low</v>
      </c>
      <c r="S130" s="1" t="str" cm="1">
        <f t="array" ref="S130">_xlfn.IFS(L130&gt;5,"high",L130=5,"medium",L130&lt;5,"low")</f>
        <v>low</v>
      </c>
      <c r="T130" s="10" t="str">
        <f t="shared" si="8"/>
        <v>low</v>
      </c>
      <c r="U130" s="1">
        <f t="shared" si="9"/>
        <v>4865.01</v>
      </c>
    </row>
    <row r="131" spans="1:21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0">O131*N131%</f>
        <v>120.3875</v>
      </c>
      <c r="Q131" s="1">
        <f t="shared" ref="Q131:Q194" si="11">O131-P131</f>
        <v>2287.3625000000002</v>
      </c>
      <c r="R131" s="1" t="str">
        <f t="shared" ref="R131:R194" si="12">IF(L131&gt;=5,"high","low")</f>
        <v>low</v>
      </c>
      <c r="S131" s="1" t="str" cm="1">
        <f t="array" ref="S131">_xlfn.IFS(L131&gt;5,"high",L131=5,"medium",L131&lt;5,"low")</f>
        <v>low</v>
      </c>
      <c r="T131" s="10" t="str">
        <f t="shared" ref="T131:T194" si="13">IF(L131&gt;5,"high",IF(L131=5,"medium","low"))</f>
        <v>low</v>
      </c>
      <c r="U131" s="1">
        <f t="shared" ref="U131:U194" si="14">L131*M131</f>
        <v>2534.4699999999998</v>
      </c>
    </row>
    <row r="132" spans="1:21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0"/>
        <v>1695.2594999999999</v>
      </c>
      <c r="Q132" s="1">
        <f t="shared" si="11"/>
        <v>9606.4704999999994</v>
      </c>
      <c r="R132" s="1" t="str">
        <f t="shared" si="12"/>
        <v>high</v>
      </c>
      <c r="S132" s="1" t="str" cm="1">
        <f t="array" ref="S132">_xlfn.IFS(L132&gt;5,"high",L132=5,"medium",L132&lt;5,"low")</f>
        <v>high</v>
      </c>
      <c r="T132" s="10" t="str">
        <f t="shared" si="13"/>
        <v>high</v>
      </c>
      <c r="U132" s="1">
        <f t="shared" si="14"/>
        <v>13296.15</v>
      </c>
    </row>
    <row r="133" spans="1:21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0"/>
        <v>0</v>
      </c>
      <c r="Q133" s="1">
        <f t="shared" si="11"/>
        <v>12614.92</v>
      </c>
      <c r="R133" s="1" t="str">
        <f t="shared" si="12"/>
        <v>low</v>
      </c>
      <c r="S133" s="1" t="str" cm="1">
        <f t="array" ref="S133">_xlfn.IFS(L133&gt;5,"high",L133=5,"medium",L133&lt;5,"low")</f>
        <v>low</v>
      </c>
      <c r="T133" s="10" t="str">
        <f t="shared" si="13"/>
        <v>low</v>
      </c>
      <c r="U133" s="1">
        <f t="shared" si="14"/>
        <v>12614.92</v>
      </c>
    </row>
    <row r="134" spans="1:21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0"/>
        <v>0</v>
      </c>
      <c r="Q134" s="1">
        <f t="shared" si="11"/>
        <v>3990.85</v>
      </c>
      <c r="R134" s="1" t="str">
        <f t="shared" si="12"/>
        <v>low</v>
      </c>
      <c r="S134" s="1" t="str" cm="1">
        <f t="array" ref="S134">_xlfn.IFS(L134&gt;5,"high",L134=5,"medium",L134&lt;5,"low")</f>
        <v>low</v>
      </c>
      <c r="T134" s="10" t="str">
        <f t="shared" si="13"/>
        <v>low</v>
      </c>
      <c r="U134" s="1">
        <f t="shared" si="14"/>
        <v>3990.85</v>
      </c>
    </row>
    <row r="135" spans="1:21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0"/>
        <v>903.57749999999999</v>
      </c>
      <c r="Q135" s="1">
        <f t="shared" si="11"/>
        <v>5120.2725</v>
      </c>
      <c r="R135" s="1" t="str">
        <f t="shared" si="12"/>
        <v>high</v>
      </c>
      <c r="S135" s="1" t="str" cm="1">
        <f t="array" ref="S135">_xlfn.IFS(L135&gt;5,"high",L135=5,"medium",L135&lt;5,"low")</f>
        <v>high</v>
      </c>
      <c r="T135" s="10" t="str">
        <f t="shared" si="13"/>
        <v>high</v>
      </c>
      <c r="U135" s="1">
        <f t="shared" si="14"/>
        <v>7086.88</v>
      </c>
    </row>
    <row r="136" spans="1:21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0"/>
        <v>547.10299999999995</v>
      </c>
      <c r="Q136" s="1">
        <f t="shared" si="11"/>
        <v>10394.957</v>
      </c>
      <c r="R136" s="1" t="str">
        <f t="shared" si="12"/>
        <v>high</v>
      </c>
      <c r="S136" s="1" t="str" cm="1">
        <f t="array" ref="S136">_xlfn.IFS(L136&gt;5,"high",L136=5,"medium",L136&lt;5,"low")</f>
        <v>high</v>
      </c>
      <c r="T136" s="10" t="str">
        <f t="shared" si="13"/>
        <v>high</v>
      </c>
      <c r="U136" s="1">
        <f t="shared" si="14"/>
        <v>11517.960000000001</v>
      </c>
    </row>
    <row r="137" spans="1:21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0"/>
        <v>0</v>
      </c>
      <c r="Q137" s="1">
        <f t="shared" si="11"/>
        <v>10855.74</v>
      </c>
      <c r="R137" s="1" t="str">
        <f t="shared" si="12"/>
        <v>high</v>
      </c>
      <c r="S137" s="1" t="str" cm="1">
        <f t="array" ref="S137">_xlfn.IFS(L137&gt;5,"high",L137=5,"medium",L137&lt;5,"low")</f>
        <v>high</v>
      </c>
      <c r="T137" s="10" t="str">
        <f t="shared" si="13"/>
        <v>high</v>
      </c>
      <c r="U137" s="1">
        <f t="shared" si="14"/>
        <v>10855.74</v>
      </c>
    </row>
    <row r="138" spans="1:21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0"/>
        <v>337.18649999999997</v>
      </c>
      <c r="Q138" s="1">
        <f t="shared" si="11"/>
        <v>1910.7234999999998</v>
      </c>
      <c r="R138" s="1" t="str">
        <f t="shared" si="12"/>
        <v>low</v>
      </c>
      <c r="S138" s="1" t="str" cm="1">
        <f t="array" ref="S138">_xlfn.IFS(L138&gt;5,"high",L138=5,"medium",L138&lt;5,"low")</f>
        <v>low</v>
      </c>
      <c r="T138" s="10" t="str">
        <f t="shared" si="13"/>
        <v>low</v>
      </c>
      <c r="U138" s="1">
        <f t="shared" si="14"/>
        <v>2644.6</v>
      </c>
    </row>
    <row r="139" spans="1:21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0"/>
        <v>0</v>
      </c>
      <c r="Q139" s="1">
        <f t="shared" si="11"/>
        <v>912.67</v>
      </c>
      <c r="R139" s="1" t="str">
        <f t="shared" si="12"/>
        <v>low</v>
      </c>
      <c r="S139" s="1" t="str" cm="1">
        <f t="array" ref="S139">_xlfn.IFS(L139&gt;5,"high",L139=5,"medium",L139&lt;5,"low")</f>
        <v>low</v>
      </c>
      <c r="T139" s="10" t="str">
        <f t="shared" si="13"/>
        <v>low</v>
      </c>
      <c r="U139" s="1">
        <f t="shared" si="14"/>
        <v>912.67</v>
      </c>
    </row>
    <row r="140" spans="1:21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0"/>
        <v>72.524000000000001</v>
      </c>
      <c r="Q140" s="1">
        <f t="shared" si="11"/>
        <v>652.71600000000001</v>
      </c>
      <c r="R140" s="1" t="str">
        <f t="shared" si="12"/>
        <v>low</v>
      </c>
      <c r="S140" s="1" t="str" cm="1">
        <f t="array" ref="S140">_xlfn.IFS(L140&gt;5,"high",L140=5,"medium",L140&lt;5,"low")</f>
        <v>low</v>
      </c>
      <c r="T140" s="10" t="str">
        <f t="shared" si="13"/>
        <v>low</v>
      </c>
      <c r="U140" s="1">
        <f t="shared" si="14"/>
        <v>805.82</v>
      </c>
    </row>
    <row r="141" spans="1:21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0"/>
        <v>2281.8620000000001</v>
      </c>
      <c r="Q141" s="1">
        <f t="shared" si="11"/>
        <v>9127.4480000000003</v>
      </c>
      <c r="R141" s="1" t="str">
        <f t="shared" si="12"/>
        <v>low</v>
      </c>
      <c r="S141" s="1" t="str" cm="1">
        <f t="array" ref="S141">_xlfn.IFS(L141&gt;5,"high",L141=5,"medium",L141&lt;5,"low")</f>
        <v>low</v>
      </c>
      <c r="T141" s="10" t="str">
        <f t="shared" si="13"/>
        <v>low</v>
      </c>
      <c r="U141" s="1">
        <f t="shared" si="14"/>
        <v>14261.64</v>
      </c>
    </row>
    <row r="142" spans="1:21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0"/>
        <v>317.95600000000002</v>
      </c>
      <c r="Q142" s="1">
        <f t="shared" si="11"/>
        <v>2861.6039999999998</v>
      </c>
      <c r="R142" s="1" t="str">
        <f t="shared" si="12"/>
        <v>low</v>
      </c>
      <c r="S142" s="1" t="str" cm="1">
        <f t="array" ref="S142">_xlfn.IFS(L142&gt;5,"high",L142=5,"medium",L142&lt;5,"low")</f>
        <v>low</v>
      </c>
      <c r="T142" s="10" t="str">
        <f t="shared" si="13"/>
        <v>low</v>
      </c>
      <c r="U142" s="1">
        <f t="shared" si="14"/>
        <v>3532.84</v>
      </c>
    </row>
    <row r="143" spans="1:21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0"/>
        <v>0</v>
      </c>
      <c r="Q143" s="1">
        <f t="shared" si="11"/>
        <v>2063.0500000000002</v>
      </c>
      <c r="R143" s="1" t="str">
        <f t="shared" si="12"/>
        <v>low</v>
      </c>
      <c r="S143" s="1" t="str" cm="1">
        <f t="array" ref="S143">_xlfn.IFS(L143&gt;5,"high",L143=5,"medium",L143&lt;5,"low")</f>
        <v>low</v>
      </c>
      <c r="T143" s="10" t="str">
        <f t="shared" si="13"/>
        <v>low</v>
      </c>
      <c r="U143" s="1">
        <f t="shared" si="14"/>
        <v>2063.0500000000002</v>
      </c>
    </row>
    <row r="144" spans="1:21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0"/>
        <v>1223.6765</v>
      </c>
      <c r="Q144" s="1">
        <f t="shared" si="11"/>
        <v>23249.853499999997</v>
      </c>
      <c r="R144" s="1" t="str">
        <f t="shared" si="12"/>
        <v>high</v>
      </c>
      <c r="S144" s="1" t="str" cm="1">
        <f t="array" ref="S144">_xlfn.IFS(L144&gt;5,"high",L144=5,"medium",L144&lt;5,"low")</f>
        <v>high</v>
      </c>
      <c r="T144" s="10" t="str">
        <f t="shared" si="13"/>
        <v>high</v>
      </c>
      <c r="U144" s="1">
        <f t="shared" si="14"/>
        <v>25761.61</v>
      </c>
    </row>
    <row r="145" spans="1:21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0"/>
        <v>4017.5620000000004</v>
      </c>
      <c r="Q145" s="1">
        <f t="shared" si="11"/>
        <v>16070.248000000001</v>
      </c>
      <c r="R145" s="1" t="str">
        <f t="shared" si="12"/>
        <v>high</v>
      </c>
      <c r="S145" s="1" t="str" cm="1">
        <f t="array" ref="S145">_xlfn.IFS(L145&gt;5,"high",L145=5,"medium",L145&lt;5,"low")</f>
        <v>high</v>
      </c>
      <c r="T145" s="10" t="str">
        <f t="shared" si="13"/>
        <v>high</v>
      </c>
      <c r="U145" s="1">
        <f t="shared" si="14"/>
        <v>25109.759999999998</v>
      </c>
    </row>
    <row r="146" spans="1:21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0"/>
        <v>352.31200000000001</v>
      </c>
      <c r="Q146" s="1">
        <f t="shared" si="11"/>
        <v>3170.808</v>
      </c>
      <c r="R146" s="1" t="str">
        <f t="shared" si="12"/>
        <v>high</v>
      </c>
      <c r="S146" s="1" t="str" cm="1">
        <f t="array" ref="S146">_xlfn.IFS(L146&gt;5,"high",L146=5,"medium",L146&lt;5,"low")</f>
        <v>high</v>
      </c>
      <c r="T146" s="10" t="str">
        <f t="shared" si="13"/>
        <v>high</v>
      </c>
      <c r="U146" s="1">
        <f t="shared" si="14"/>
        <v>3914.58</v>
      </c>
    </row>
    <row r="147" spans="1:21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0"/>
        <v>1186.704</v>
      </c>
      <c r="Q147" s="1">
        <f t="shared" si="11"/>
        <v>6724.6559999999999</v>
      </c>
      <c r="R147" s="1" t="str">
        <f t="shared" si="12"/>
        <v>low</v>
      </c>
      <c r="S147" s="1" t="str" cm="1">
        <f t="array" ref="S147">_xlfn.IFS(L147&gt;5,"high",L147=5,"medium",L147&lt;5,"low")</f>
        <v>low</v>
      </c>
      <c r="T147" s="10" t="str">
        <f t="shared" si="13"/>
        <v>low</v>
      </c>
      <c r="U147" s="1">
        <f t="shared" si="14"/>
        <v>9307.48</v>
      </c>
    </row>
    <row r="148" spans="1:21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0"/>
        <v>528.01099999999997</v>
      </c>
      <c r="Q148" s="1">
        <f t="shared" si="11"/>
        <v>10032.208999999999</v>
      </c>
      <c r="R148" s="1" t="str">
        <f t="shared" si="12"/>
        <v>high</v>
      </c>
      <c r="S148" s="1" t="str" cm="1">
        <f t="array" ref="S148">_xlfn.IFS(L148&gt;5,"high",L148=5,"medium",L148&lt;5,"low")</f>
        <v>high</v>
      </c>
      <c r="T148" s="10" t="str">
        <f t="shared" si="13"/>
        <v>high</v>
      </c>
      <c r="U148" s="1">
        <f t="shared" si="14"/>
        <v>11116.02</v>
      </c>
    </row>
    <row r="149" spans="1:21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0"/>
        <v>869.2</v>
      </c>
      <c r="Q149" s="1">
        <f t="shared" si="11"/>
        <v>7822.8</v>
      </c>
      <c r="R149" s="1" t="str">
        <f t="shared" si="12"/>
        <v>low</v>
      </c>
      <c r="S149" s="1" t="str" cm="1">
        <f t="array" ref="S149">_xlfn.IFS(L149&gt;5,"high",L149=5,"medium",L149&lt;5,"low")</f>
        <v>low</v>
      </c>
      <c r="T149" s="10" t="str">
        <f t="shared" si="13"/>
        <v>low</v>
      </c>
      <c r="U149" s="1">
        <f t="shared" si="14"/>
        <v>9657.7800000000007</v>
      </c>
    </row>
    <row r="150" spans="1:21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0"/>
        <v>2997.0659999999998</v>
      </c>
      <c r="Q150" s="1">
        <f t="shared" si="11"/>
        <v>16983.374</v>
      </c>
      <c r="R150" s="1" t="str">
        <f t="shared" si="12"/>
        <v>high</v>
      </c>
      <c r="S150" s="1" t="str" cm="1">
        <f t="array" ref="S150">_xlfn.IFS(L150&gt;5,"high",L150=5,"medium",L150&lt;5,"low")</f>
        <v>high</v>
      </c>
      <c r="T150" s="10" t="str">
        <f t="shared" si="13"/>
        <v>high</v>
      </c>
      <c r="U150" s="1">
        <f t="shared" si="14"/>
        <v>23506.400000000001</v>
      </c>
    </row>
    <row r="151" spans="1:21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0"/>
        <v>0</v>
      </c>
      <c r="Q151" s="1">
        <f t="shared" si="11"/>
        <v>5616.12</v>
      </c>
      <c r="R151" s="1" t="str">
        <f t="shared" si="12"/>
        <v>low</v>
      </c>
      <c r="S151" s="1" t="str" cm="1">
        <f t="array" ref="S151">_xlfn.IFS(L151&gt;5,"high",L151=5,"medium",L151&lt;5,"low")</f>
        <v>low</v>
      </c>
      <c r="T151" s="10" t="str">
        <f t="shared" si="13"/>
        <v>low</v>
      </c>
      <c r="U151" s="1">
        <f t="shared" si="14"/>
        <v>5616.12</v>
      </c>
    </row>
    <row r="152" spans="1:21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0"/>
        <v>931.452</v>
      </c>
      <c r="Q152" s="1">
        <f t="shared" si="11"/>
        <v>5278.2280000000001</v>
      </c>
      <c r="R152" s="1" t="str">
        <f t="shared" si="12"/>
        <v>high</v>
      </c>
      <c r="S152" s="1" t="str" cm="1">
        <f t="array" ref="S152">_xlfn.IFS(L152&gt;5,"high",L152=5,"medium",L152&lt;5,"low")</f>
        <v>medium</v>
      </c>
      <c r="T152" s="10" t="str">
        <f t="shared" si="13"/>
        <v>medium</v>
      </c>
      <c r="U152" s="1">
        <f t="shared" si="14"/>
        <v>7305.5</v>
      </c>
    </row>
    <row r="153" spans="1:21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0"/>
        <v>292.42</v>
      </c>
      <c r="Q153" s="1">
        <f t="shared" si="11"/>
        <v>2631.7799999999997</v>
      </c>
      <c r="R153" s="1" t="str">
        <f t="shared" si="12"/>
        <v>low</v>
      </c>
      <c r="S153" s="1" t="str" cm="1">
        <f t="array" ref="S153">_xlfn.IFS(L153&gt;5,"high",L153=5,"medium",L153&lt;5,"low")</f>
        <v>low</v>
      </c>
      <c r="T153" s="10" t="str">
        <f t="shared" si="13"/>
        <v>low</v>
      </c>
      <c r="U153" s="1">
        <f t="shared" si="14"/>
        <v>3249.11</v>
      </c>
    </row>
    <row r="154" spans="1:21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0"/>
        <v>189.923</v>
      </c>
      <c r="Q154" s="1">
        <f t="shared" si="11"/>
        <v>1709.307</v>
      </c>
      <c r="R154" s="1" t="str">
        <f t="shared" si="12"/>
        <v>high</v>
      </c>
      <c r="S154" s="1" t="str" cm="1">
        <f t="array" ref="S154">_xlfn.IFS(L154&gt;5,"high",L154=5,"medium",L154&lt;5,"low")</f>
        <v>high</v>
      </c>
      <c r="T154" s="10" t="str">
        <f t="shared" si="13"/>
        <v>high</v>
      </c>
      <c r="U154" s="1">
        <f t="shared" si="14"/>
        <v>2110.2599999999998</v>
      </c>
    </row>
    <row r="155" spans="1:21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0"/>
        <v>0</v>
      </c>
      <c r="Q155" s="1">
        <f t="shared" si="11"/>
        <v>1529.12</v>
      </c>
      <c r="R155" s="1" t="str">
        <f t="shared" si="12"/>
        <v>low</v>
      </c>
      <c r="S155" s="1" t="str" cm="1">
        <f t="array" ref="S155">_xlfn.IFS(L155&gt;5,"high",L155=5,"medium",L155&lt;5,"low")</f>
        <v>low</v>
      </c>
      <c r="T155" s="10" t="str">
        <f t="shared" si="13"/>
        <v>low</v>
      </c>
      <c r="U155" s="1">
        <f t="shared" si="14"/>
        <v>1529.12</v>
      </c>
    </row>
    <row r="156" spans="1:21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0"/>
        <v>735.49650000000008</v>
      </c>
      <c r="Q156" s="1">
        <f t="shared" si="11"/>
        <v>4167.8135000000002</v>
      </c>
      <c r="R156" s="1" t="str">
        <f t="shared" si="12"/>
        <v>low</v>
      </c>
      <c r="S156" s="1" t="str" cm="1">
        <f t="array" ref="S156">_xlfn.IFS(L156&gt;5,"high",L156=5,"medium",L156&lt;5,"low")</f>
        <v>low</v>
      </c>
      <c r="T156" s="10" t="str">
        <f t="shared" si="13"/>
        <v>low</v>
      </c>
      <c r="U156" s="1">
        <f t="shared" si="14"/>
        <v>5768.6</v>
      </c>
    </row>
    <row r="157" spans="1:21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0"/>
        <v>340.96799999999996</v>
      </c>
      <c r="Q157" s="1">
        <f t="shared" si="11"/>
        <v>1932.152</v>
      </c>
      <c r="R157" s="1" t="str">
        <f t="shared" si="12"/>
        <v>high</v>
      </c>
      <c r="S157" s="1" t="str" cm="1">
        <f t="array" ref="S157">_xlfn.IFS(L157&gt;5,"high",L157=5,"medium",L157&lt;5,"low")</f>
        <v>high</v>
      </c>
      <c r="T157" s="10" t="str">
        <f t="shared" si="13"/>
        <v>high</v>
      </c>
      <c r="U157" s="1">
        <f t="shared" si="14"/>
        <v>2674.2599999999998</v>
      </c>
    </row>
    <row r="158" spans="1:21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0"/>
        <v>0</v>
      </c>
      <c r="Q158" s="1">
        <f t="shared" si="11"/>
        <v>8437.84</v>
      </c>
      <c r="R158" s="1" t="str">
        <f t="shared" si="12"/>
        <v>high</v>
      </c>
      <c r="S158" s="1" t="str" cm="1">
        <f t="array" ref="S158">_xlfn.IFS(L158&gt;5,"high",L158=5,"medium",L158&lt;5,"low")</f>
        <v>high</v>
      </c>
      <c r="T158" s="10" t="str">
        <f t="shared" si="13"/>
        <v>high</v>
      </c>
      <c r="U158" s="1">
        <f t="shared" si="14"/>
        <v>8437.84</v>
      </c>
    </row>
    <row r="159" spans="1:21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0"/>
        <v>3413.0009999999997</v>
      </c>
      <c r="Q159" s="1">
        <f t="shared" si="11"/>
        <v>19340.339</v>
      </c>
      <c r="R159" s="1" t="str">
        <f t="shared" si="12"/>
        <v>high</v>
      </c>
      <c r="S159" s="1" t="str" cm="1">
        <f t="array" ref="S159">_xlfn.IFS(L159&gt;5,"high",L159=5,"medium",L159&lt;5,"low")</f>
        <v>high</v>
      </c>
      <c r="T159" s="10" t="str">
        <f t="shared" si="13"/>
        <v>high</v>
      </c>
      <c r="U159" s="1">
        <f t="shared" si="14"/>
        <v>26768.639999999999</v>
      </c>
    </row>
    <row r="160" spans="1:21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0"/>
        <v>0</v>
      </c>
      <c r="Q160" s="1">
        <f t="shared" si="11"/>
        <v>22804.62</v>
      </c>
      <c r="R160" s="1" t="str">
        <f t="shared" si="12"/>
        <v>high</v>
      </c>
      <c r="S160" s="1" t="str" cm="1">
        <f t="array" ref="S160">_xlfn.IFS(L160&gt;5,"high",L160=5,"medium",L160&lt;5,"low")</f>
        <v>high</v>
      </c>
      <c r="T160" s="10" t="str">
        <f t="shared" si="13"/>
        <v>high</v>
      </c>
      <c r="U160" s="1">
        <f t="shared" si="14"/>
        <v>22804.62</v>
      </c>
    </row>
    <row r="161" spans="1:21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0"/>
        <v>251.31700000000001</v>
      </c>
      <c r="Q161" s="1">
        <f t="shared" si="11"/>
        <v>4775.0230000000001</v>
      </c>
      <c r="R161" s="1" t="str">
        <f t="shared" si="12"/>
        <v>low</v>
      </c>
      <c r="S161" s="1" t="str" cm="1">
        <f t="array" ref="S161">_xlfn.IFS(L161&gt;5,"high",L161=5,"medium",L161&lt;5,"low")</f>
        <v>low</v>
      </c>
      <c r="T161" s="10" t="str">
        <f t="shared" si="13"/>
        <v>low</v>
      </c>
      <c r="U161" s="1">
        <f t="shared" si="14"/>
        <v>5290.88</v>
      </c>
    </row>
    <row r="162" spans="1:21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0"/>
        <v>841.24099999999999</v>
      </c>
      <c r="Q162" s="1">
        <f t="shared" si="11"/>
        <v>7571.1689999999999</v>
      </c>
      <c r="R162" s="1" t="str">
        <f t="shared" si="12"/>
        <v>high</v>
      </c>
      <c r="S162" s="1" t="str" cm="1">
        <f t="array" ref="S162">_xlfn.IFS(L162&gt;5,"high",L162=5,"medium",L162&lt;5,"low")</f>
        <v>high</v>
      </c>
      <c r="T162" s="10" t="str">
        <f t="shared" si="13"/>
        <v>high</v>
      </c>
      <c r="U162" s="1">
        <f t="shared" si="14"/>
        <v>9347.1200000000008</v>
      </c>
    </row>
    <row r="163" spans="1:21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0"/>
        <v>466.48400000000004</v>
      </c>
      <c r="Q163" s="1">
        <f t="shared" si="11"/>
        <v>8863.1959999999999</v>
      </c>
      <c r="R163" s="1" t="str">
        <f t="shared" si="12"/>
        <v>high</v>
      </c>
      <c r="S163" s="1" t="str" cm="1">
        <f t="array" ref="S163">_xlfn.IFS(L163&gt;5,"high",L163=5,"medium",L163&lt;5,"low")</f>
        <v>high</v>
      </c>
      <c r="T163" s="10" t="str">
        <f t="shared" si="13"/>
        <v>high</v>
      </c>
      <c r="U163" s="1">
        <f t="shared" si="14"/>
        <v>9820.7199999999993</v>
      </c>
    </row>
    <row r="164" spans="1:21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0"/>
        <v>195.07600000000002</v>
      </c>
      <c r="Q164" s="1">
        <f t="shared" si="11"/>
        <v>780.30399999999997</v>
      </c>
      <c r="R164" s="1" t="str">
        <f t="shared" si="12"/>
        <v>low</v>
      </c>
      <c r="S164" s="1" t="str" cm="1">
        <f t="array" ref="S164">_xlfn.IFS(L164&gt;5,"high",L164=5,"medium",L164&lt;5,"low")</f>
        <v>low</v>
      </c>
      <c r="T164" s="10" t="str">
        <f t="shared" si="13"/>
        <v>low</v>
      </c>
      <c r="U164" s="1">
        <f t="shared" si="14"/>
        <v>1219.22</v>
      </c>
    </row>
    <row r="165" spans="1:21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0"/>
        <v>184.53200000000001</v>
      </c>
      <c r="Q165" s="1">
        <f t="shared" si="11"/>
        <v>738.12799999999993</v>
      </c>
      <c r="R165" s="1" t="str">
        <f t="shared" si="12"/>
        <v>low</v>
      </c>
      <c r="S165" s="1" t="str" cm="1">
        <f t="array" ref="S165">_xlfn.IFS(L165&gt;5,"high",L165=5,"medium",L165&lt;5,"low")</f>
        <v>low</v>
      </c>
      <c r="T165" s="10" t="str">
        <f t="shared" si="13"/>
        <v>low</v>
      </c>
      <c r="U165" s="1">
        <f t="shared" si="14"/>
        <v>1153.32</v>
      </c>
    </row>
    <row r="166" spans="1:21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0"/>
        <v>2379.9240000000004</v>
      </c>
      <c r="Q166" s="1">
        <f t="shared" si="11"/>
        <v>9519.6959999999999</v>
      </c>
      <c r="R166" s="1" t="str">
        <f t="shared" si="12"/>
        <v>low</v>
      </c>
      <c r="S166" s="1" t="str" cm="1">
        <f t="array" ref="S166">_xlfn.IFS(L166&gt;5,"high",L166=5,"medium",L166&lt;5,"low")</f>
        <v>low</v>
      </c>
      <c r="T166" s="10" t="str">
        <f t="shared" si="13"/>
        <v>low</v>
      </c>
      <c r="U166" s="1">
        <f t="shared" si="14"/>
        <v>14874.52</v>
      </c>
    </row>
    <row r="167" spans="1:21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0"/>
        <v>0</v>
      </c>
      <c r="Q167" s="1">
        <f t="shared" si="11"/>
        <v>6809.18</v>
      </c>
      <c r="R167" s="1" t="str">
        <f t="shared" si="12"/>
        <v>high</v>
      </c>
      <c r="S167" s="1" t="str" cm="1">
        <f t="array" ref="S167">_xlfn.IFS(L167&gt;5,"high",L167=5,"medium",L167&lt;5,"low")</f>
        <v>high</v>
      </c>
      <c r="T167" s="10" t="str">
        <f t="shared" si="13"/>
        <v>high</v>
      </c>
      <c r="U167" s="1">
        <f t="shared" si="14"/>
        <v>6809.18</v>
      </c>
    </row>
    <row r="168" spans="1:21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0"/>
        <v>1577.0654999999999</v>
      </c>
      <c r="Q168" s="1">
        <f t="shared" si="11"/>
        <v>8936.7044999999998</v>
      </c>
      <c r="R168" s="1" t="str">
        <f t="shared" si="12"/>
        <v>high</v>
      </c>
      <c r="S168" s="1" t="str" cm="1">
        <f t="array" ref="S168">_xlfn.IFS(L168&gt;5,"high",L168=5,"medium",L168&lt;5,"low")</f>
        <v>high</v>
      </c>
      <c r="T168" s="10" t="str">
        <f t="shared" si="13"/>
        <v>high</v>
      </c>
      <c r="U168" s="1">
        <f t="shared" si="14"/>
        <v>12369.14</v>
      </c>
    </row>
    <row r="169" spans="1:21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0"/>
        <v>71.17</v>
      </c>
      <c r="Q169" s="1">
        <f t="shared" si="11"/>
        <v>1352.23</v>
      </c>
      <c r="R169" s="1" t="str">
        <f t="shared" si="12"/>
        <v>high</v>
      </c>
      <c r="S169" s="1" t="str" cm="1">
        <f t="array" ref="S169">_xlfn.IFS(L169&gt;5,"high",L169=5,"medium",L169&lt;5,"low")</f>
        <v>high</v>
      </c>
      <c r="T169" s="10" t="str">
        <f t="shared" si="13"/>
        <v>high</v>
      </c>
      <c r="U169" s="1">
        <f t="shared" si="14"/>
        <v>1498.32</v>
      </c>
    </row>
    <row r="170" spans="1:21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0"/>
        <v>820.11850000000004</v>
      </c>
      <c r="Q170" s="1">
        <f t="shared" si="11"/>
        <v>15582.251499999998</v>
      </c>
      <c r="R170" s="1" t="str">
        <f t="shared" si="12"/>
        <v>high</v>
      </c>
      <c r="S170" s="1" t="str" cm="1">
        <f t="array" ref="S170">_xlfn.IFS(L170&gt;5,"high",L170=5,"medium",L170&lt;5,"low")</f>
        <v>medium</v>
      </c>
      <c r="T170" s="10" t="str">
        <f t="shared" si="13"/>
        <v>medium</v>
      </c>
      <c r="U170" s="1">
        <f t="shared" si="14"/>
        <v>17265.650000000001</v>
      </c>
    </row>
    <row r="171" spans="1:21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0"/>
        <v>985.84900000000005</v>
      </c>
      <c r="Q171" s="1">
        <f t="shared" si="11"/>
        <v>18731.131000000001</v>
      </c>
      <c r="R171" s="1" t="str">
        <f t="shared" si="12"/>
        <v>high</v>
      </c>
      <c r="S171" s="1" t="str" cm="1">
        <f t="array" ref="S171">_xlfn.IFS(L171&gt;5,"high",L171=5,"medium",L171&lt;5,"low")</f>
        <v>high</v>
      </c>
      <c r="T171" s="10" t="str">
        <f t="shared" si="13"/>
        <v>high</v>
      </c>
      <c r="U171" s="1">
        <f t="shared" si="14"/>
        <v>20754.72</v>
      </c>
    </row>
    <row r="172" spans="1:21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0"/>
        <v>1442.1040000000003</v>
      </c>
      <c r="Q172" s="1">
        <f t="shared" si="11"/>
        <v>27399.976000000002</v>
      </c>
      <c r="R172" s="1" t="str">
        <f t="shared" si="12"/>
        <v>high</v>
      </c>
      <c r="S172" s="1" t="str" cm="1">
        <f t="array" ref="S172">_xlfn.IFS(L172&gt;5,"high",L172=5,"medium",L172&lt;5,"low")</f>
        <v>high</v>
      </c>
      <c r="T172" s="10" t="str">
        <f t="shared" si="13"/>
        <v>high</v>
      </c>
      <c r="U172" s="1">
        <f t="shared" si="14"/>
        <v>30360.080000000002</v>
      </c>
    </row>
    <row r="173" spans="1:21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0"/>
        <v>4549.2760000000007</v>
      </c>
      <c r="Q173" s="1">
        <f t="shared" si="11"/>
        <v>18197.103999999999</v>
      </c>
      <c r="R173" s="1" t="str">
        <f t="shared" si="12"/>
        <v>high</v>
      </c>
      <c r="S173" s="1" t="str" cm="1">
        <f t="array" ref="S173">_xlfn.IFS(L173&gt;5,"high",L173=5,"medium",L173&lt;5,"low")</f>
        <v>high</v>
      </c>
      <c r="T173" s="10" t="str">
        <f t="shared" si="13"/>
        <v>high</v>
      </c>
      <c r="U173" s="1">
        <f t="shared" si="14"/>
        <v>28432.98</v>
      </c>
    </row>
    <row r="174" spans="1:21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0"/>
        <v>193.482</v>
      </c>
      <c r="Q174" s="1">
        <f t="shared" si="11"/>
        <v>3676.1579999999999</v>
      </c>
      <c r="R174" s="1" t="str">
        <f t="shared" si="12"/>
        <v>low</v>
      </c>
      <c r="S174" s="1" t="str" cm="1">
        <f t="array" ref="S174">_xlfn.IFS(L174&gt;5,"high",L174=5,"medium",L174&lt;5,"low")</f>
        <v>low</v>
      </c>
      <c r="T174" s="10" t="str">
        <f t="shared" si="13"/>
        <v>low</v>
      </c>
      <c r="U174" s="1">
        <f t="shared" si="14"/>
        <v>4073.31</v>
      </c>
    </row>
    <row r="175" spans="1:21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0"/>
        <v>422.39849999999996</v>
      </c>
      <c r="Q175" s="1">
        <f t="shared" si="11"/>
        <v>2393.5915</v>
      </c>
      <c r="R175" s="1" t="str">
        <f t="shared" si="12"/>
        <v>low</v>
      </c>
      <c r="S175" s="1" t="str" cm="1">
        <f t="array" ref="S175">_xlfn.IFS(L175&gt;5,"high",L175=5,"medium",L175&lt;5,"low")</f>
        <v>low</v>
      </c>
      <c r="T175" s="10" t="str">
        <f t="shared" si="13"/>
        <v>low</v>
      </c>
      <c r="U175" s="1">
        <f t="shared" si="14"/>
        <v>3312.93</v>
      </c>
    </row>
    <row r="176" spans="1:21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0"/>
        <v>1815.1740000000002</v>
      </c>
      <c r="Q176" s="1">
        <f t="shared" si="11"/>
        <v>7260.6960000000008</v>
      </c>
      <c r="R176" s="1" t="str">
        <f t="shared" si="12"/>
        <v>low</v>
      </c>
      <c r="S176" s="1" t="str" cm="1">
        <f t="array" ref="S176">_xlfn.IFS(L176&gt;5,"high",L176=5,"medium",L176&lt;5,"low")</f>
        <v>low</v>
      </c>
      <c r="T176" s="10" t="str">
        <f t="shared" si="13"/>
        <v>low</v>
      </c>
      <c r="U176" s="1">
        <f t="shared" si="14"/>
        <v>11344.84</v>
      </c>
    </row>
    <row r="177" spans="1:21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0"/>
        <v>368.55950000000001</v>
      </c>
      <c r="Q177" s="1">
        <f t="shared" si="11"/>
        <v>7002.6304999999993</v>
      </c>
      <c r="R177" s="1" t="str">
        <f t="shared" si="12"/>
        <v>high</v>
      </c>
      <c r="S177" s="1" t="str" cm="1">
        <f t="array" ref="S177">_xlfn.IFS(L177&gt;5,"high",L177=5,"medium",L177&lt;5,"low")</f>
        <v>medium</v>
      </c>
      <c r="T177" s="10" t="str">
        <f t="shared" si="13"/>
        <v>medium</v>
      </c>
      <c r="U177" s="1">
        <f t="shared" si="14"/>
        <v>7759.15</v>
      </c>
    </row>
    <row r="178" spans="1:21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0"/>
        <v>0</v>
      </c>
      <c r="Q178" s="1">
        <f t="shared" si="11"/>
        <v>2329.9299999999998</v>
      </c>
      <c r="R178" s="1" t="str">
        <f t="shared" si="12"/>
        <v>low</v>
      </c>
      <c r="S178" s="1" t="str" cm="1">
        <f t="array" ref="S178">_xlfn.IFS(L178&gt;5,"high",L178=5,"medium",L178&lt;5,"low")</f>
        <v>low</v>
      </c>
      <c r="T178" s="10" t="str">
        <f t="shared" si="13"/>
        <v>low</v>
      </c>
      <c r="U178" s="1">
        <f t="shared" si="14"/>
        <v>2329.9299999999998</v>
      </c>
    </row>
    <row r="179" spans="1:21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0"/>
        <v>109.67700000000001</v>
      </c>
      <c r="Q179" s="1">
        <f t="shared" si="11"/>
        <v>987.09299999999996</v>
      </c>
      <c r="R179" s="1" t="str">
        <f t="shared" si="12"/>
        <v>high</v>
      </c>
      <c r="S179" s="1" t="str" cm="1">
        <f t="array" ref="S179">_xlfn.IFS(L179&gt;5,"high",L179=5,"medium",L179&lt;5,"low")</f>
        <v>high</v>
      </c>
      <c r="T179" s="10" t="str">
        <f t="shared" si="13"/>
        <v>high</v>
      </c>
      <c r="U179" s="1">
        <f t="shared" si="14"/>
        <v>1218.6300000000001</v>
      </c>
    </row>
    <row r="180" spans="1:21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0"/>
        <v>314.49099999999999</v>
      </c>
      <c r="Q180" s="1">
        <f t="shared" si="11"/>
        <v>2830.4189999999999</v>
      </c>
      <c r="R180" s="1" t="str">
        <f t="shared" si="12"/>
        <v>high</v>
      </c>
      <c r="S180" s="1" t="str" cm="1">
        <f t="array" ref="S180">_xlfn.IFS(L180&gt;5,"high",L180=5,"medium",L180&lt;5,"low")</f>
        <v>high</v>
      </c>
      <c r="T180" s="10" t="str">
        <f t="shared" si="13"/>
        <v>high</v>
      </c>
      <c r="U180" s="1">
        <f t="shared" si="14"/>
        <v>3494.34</v>
      </c>
    </row>
    <row r="181" spans="1:21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0"/>
        <v>1592.0420000000001</v>
      </c>
      <c r="Q181" s="1">
        <f t="shared" si="11"/>
        <v>14328.378000000001</v>
      </c>
      <c r="R181" s="1" t="str">
        <f t="shared" si="12"/>
        <v>high</v>
      </c>
      <c r="S181" s="1" t="str" cm="1">
        <f t="array" ref="S181">_xlfn.IFS(L181&gt;5,"high",L181=5,"medium",L181&lt;5,"low")</f>
        <v>high</v>
      </c>
      <c r="T181" s="10" t="str">
        <f t="shared" si="13"/>
        <v>high</v>
      </c>
      <c r="U181" s="1">
        <f t="shared" si="14"/>
        <v>17689.36</v>
      </c>
    </row>
    <row r="182" spans="1:21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0"/>
        <v>1863.5040000000001</v>
      </c>
      <c r="Q182" s="1">
        <f t="shared" si="11"/>
        <v>7454.0160000000005</v>
      </c>
      <c r="R182" s="1" t="str">
        <f t="shared" si="12"/>
        <v>high</v>
      </c>
      <c r="S182" s="1" t="str" cm="1">
        <f t="array" ref="S182">_xlfn.IFS(L182&gt;5,"high",L182=5,"medium",L182&lt;5,"low")</f>
        <v>medium</v>
      </c>
      <c r="T182" s="10" t="str">
        <f t="shared" si="13"/>
        <v>medium</v>
      </c>
      <c r="U182" s="1">
        <f t="shared" si="14"/>
        <v>11646.900000000001</v>
      </c>
    </row>
    <row r="183" spans="1:21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0"/>
        <v>578.18700000000001</v>
      </c>
      <c r="Q183" s="1">
        <f t="shared" si="11"/>
        <v>10985.553</v>
      </c>
      <c r="R183" s="1" t="str">
        <f t="shared" si="12"/>
        <v>low</v>
      </c>
      <c r="S183" s="1" t="str" cm="1">
        <f t="array" ref="S183">_xlfn.IFS(L183&gt;5,"high",L183=5,"medium",L183&lt;5,"low")</f>
        <v>low</v>
      </c>
      <c r="T183" s="10" t="str">
        <f t="shared" si="13"/>
        <v>low</v>
      </c>
      <c r="U183" s="1">
        <f t="shared" si="14"/>
        <v>12172.36</v>
      </c>
    </row>
    <row r="184" spans="1:21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0"/>
        <v>737.03800000000001</v>
      </c>
      <c r="Q184" s="1">
        <f t="shared" si="11"/>
        <v>2948.152</v>
      </c>
      <c r="R184" s="1" t="str">
        <f t="shared" si="12"/>
        <v>high</v>
      </c>
      <c r="S184" s="1" t="str" cm="1">
        <f t="array" ref="S184">_xlfn.IFS(L184&gt;5,"high",L184=5,"medium",L184&lt;5,"low")</f>
        <v>high</v>
      </c>
      <c r="T184" s="10" t="str">
        <f t="shared" si="13"/>
        <v>high</v>
      </c>
      <c r="U184" s="1">
        <f t="shared" si="14"/>
        <v>4606.4900000000007</v>
      </c>
    </row>
    <row r="185" spans="1:21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0"/>
        <v>1355.1659999999999</v>
      </c>
      <c r="Q185" s="1">
        <f t="shared" si="11"/>
        <v>7679.2740000000003</v>
      </c>
      <c r="R185" s="1" t="str">
        <f t="shared" si="12"/>
        <v>high</v>
      </c>
      <c r="S185" s="1" t="str" cm="1">
        <f t="array" ref="S185">_xlfn.IFS(L185&gt;5,"high",L185=5,"medium",L185&lt;5,"low")</f>
        <v>medium</v>
      </c>
      <c r="T185" s="10" t="str">
        <f t="shared" si="13"/>
        <v>medium</v>
      </c>
      <c r="U185" s="1">
        <f t="shared" si="14"/>
        <v>10628.75</v>
      </c>
    </row>
    <row r="186" spans="1:21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0"/>
        <v>0</v>
      </c>
      <c r="Q186" s="1">
        <f t="shared" si="11"/>
        <v>6290.34</v>
      </c>
      <c r="R186" s="1" t="str">
        <f t="shared" si="12"/>
        <v>high</v>
      </c>
      <c r="S186" s="1" t="str" cm="1">
        <f t="array" ref="S186">_xlfn.IFS(L186&gt;5,"high",L186=5,"medium",L186&lt;5,"low")</f>
        <v>high</v>
      </c>
      <c r="T186" s="10" t="str">
        <f t="shared" si="13"/>
        <v>high</v>
      </c>
      <c r="U186" s="1">
        <f t="shared" si="14"/>
        <v>6290.34</v>
      </c>
    </row>
    <row r="187" spans="1:21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0"/>
        <v>0</v>
      </c>
      <c r="Q187" s="1">
        <f t="shared" si="11"/>
        <v>508.81</v>
      </c>
      <c r="R187" s="1" t="str">
        <f t="shared" si="12"/>
        <v>low</v>
      </c>
      <c r="S187" s="1" t="str" cm="1">
        <f t="array" ref="S187">_xlfn.IFS(L187&gt;5,"high",L187=5,"medium",L187&lt;5,"low")</f>
        <v>low</v>
      </c>
      <c r="T187" s="10" t="str">
        <f t="shared" si="13"/>
        <v>low</v>
      </c>
      <c r="U187" s="1">
        <f t="shared" si="14"/>
        <v>508.81</v>
      </c>
    </row>
    <row r="188" spans="1:21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0"/>
        <v>155.73699999999999</v>
      </c>
      <c r="Q188" s="1">
        <f t="shared" si="11"/>
        <v>1401.6329999999998</v>
      </c>
      <c r="R188" s="1" t="str">
        <f t="shared" si="12"/>
        <v>low</v>
      </c>
      <c r="S188" s="1" t="str" cm="1">
        <f t="array" ref="S188">_xlfn.IFS(L188&gt;5,"high",L188=5,"medium",L188&lt;5,"low")</f>
        <v>low</v>
      </c>
      <c r="T188" s="10" t="str">
        <f t="shared" si="13"/>
        <v>low</v>
      </c>
      <c r="U188" s="1">
        <f t="shared" si="14"/>
        <v>1730.41</v>
      </c>
    </row>
    <row r="189" spans="1:21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0"/>
        <v>210.28899999999999</v>
      </c>
      <c r="Q189" s="1">
        <f t="shared" si="11"/>
        <v>1892.6009999999999</v>
      </c>
      <c r="R189" s="1" t="str">
        <f t="shared" si="12"/>
        <v>low</v>
      </c>
      <c r="S189" s="1" t="str" cm="1">
        <f t="array" ref="S189">_xlfn.IFS(L189&gt;5,"high",L189=5,"medium",L189&lt;5,"low")</f>
        <v>low</v>
      </c>
      <c r="T189" s="10" t="str">
        <f t="shared" si="13"/>
        <v>low</v>
      </c>
      <c r="U189" s="1">
        <f t="shared" si="14"/>
        <v>2336.5500000000002</v>
      </c>
    </row>
    <row r="190" spans="1:21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0"/>
        <v>180.69500000000002</v>
      </c>
      <c r="Q190" s="1">
        <f t="shared" si="11"/>
        <v>1626.2550000000001</v>
      </c>
      <c r="R190" s="1" t="str">
        <f t="shared" si="12"/>
        <v>low</v>
      </c>
      <c r="S190" s="1" t="str" cm="1">
        <f t="array" ref="S190">_xlfn.IFS(L190&gt;5,"high",L190=5,"medium",L190&lt;5,"low")</f>
        <v>low</v>
      </c>
      <c r="T190" s="10" t="str">
        <f t="shared" si="13"/>
        <v>low</v>
      </c>
      <c r="U190" s="1">
        <f t="shared" si="14"/>
        <v>2007.72</v>
      </c>
    </row>
    <row r="191" spans="1:21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0"/>
        <v>130.39600000000002</v>
      </c>
      <c r="Q191" s="1">
        <f t="shared" si="11"/>
        <v>2477.5239999999999</v>
      </c>
      <c r="R191" s="1" t="str">
        <f t="shared" si="12"/>
        <v>low</v>
      </c>
      <c r="S191" s="1" t="str" cm="1">
        <f t="array" ref="S191">_xlfn.IFS(L191&gt;5,"high",L191=5,"medium",L191&lt;5,"low")</f>
        <v>low</v>
      </c>
      <c r="T191" s="10" t="str">
        <f t="shared" si="13"/>
        <v>low</v>
      </c>
      <c r="U191" s="1">
        <f t="shared" si="14"/>
        <v>2745.18</v>
      </c>
    </row>
    <row r="192" spans="1:21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0"/>
        <v>1025.1704999999999</v>
      </c>
      <c r="Q192" s="1">
        <f t="shared" si="11"/>
        <v>5809.2995000000001</v>
      </c>
      <c r="R192" s="1" t="str">
        <f t="shared" si="12"/>
        <v>high</v>
      </c>
      <c r="S192" s="1" t="str" cm="1">
        <f t="array" ref="S192">_xlfn.IFS(L192&gt;5,"high",L192=5,"medium",L192&lt;5,"low")</f>
        <v>high</v>
      </c>
      <c r="T192" s="10" t="str">
        <f t="shared" si="13"/>
        <v>high</v>
      </c>
      <c r="U192" s="1">
        <f t="shared" si="14"/>
        <v>8040.5500000000011</v>
      </c>
    </row>
    <row r="193" spans="1:21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0"/>
        <v>124.24349999999998</v>
      </c>
      <c r="Q193" s="1">
        <f t="shared" si="11"/>
        <v>704.04649999999992</v>
      </c>
      <c r="R193" s="1" t="str">
        <f t="shared" si="12"/>
        <v>low</v>
      </c>
      <c r="S193" s="1" t="str" cm="1">
        <f t="array" ref="S193">_xlfn.IFS(L193&gt;5,"high",L193=5,"medium",L193&lt;5,"low")</f>
        <v>low</v>
      </c>
      <c r="T193" s="10" t="str">
        <f t="shared" si="13"/>
        <v>low</v>
      </c>
      <c r="U193" s="1">
        <f t="shared" si="14"/>
        <v>974.46</v>
      </c>
    </row>
    <row r="194" spans="1:21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0"/>
        <v>253.05149999999998</v>
      </c>
      <c r="Q194" s="1">
        <f t="shared" si="11"/>
        <v>1433.9585</v>
      </c>
      <c r="R194" s="1" t="str">
        <f t="shared" si="12"/>
        <v>low</v>
      </c>
      <c r="S194" s="1" t="str" cm="1">
        <f t="array" ref="S194">_xlfn.IFS(L194&gt;5,"high",L194=5,"medium",L194&lt;5,"low")</f>
        <v>low</v>
      </c>
      <c r="T194" s="10" t="str">
        <f t="shared" si="13"/>
        <v>low</v>
      </c>
      <c r="U194" s="1">
        <f t="shared" si="14"/>
        <v>1984.72</v>
      </c>
    </row>
    <row r="195" spans="1:21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15">O195*N195%</f>
        <v>227.97299999999998</v>
      </c>
      <c r="Q195" s="1">
        <f t="shared" ref="Q195:Q258" si="16">O195-P195</f>
        <v>1291.847</v>
      </c>
      <c r="R195" s="1" t="str">
        <f t="shared" ref="R195:R258" si="17">IF(L195&gt;=5,"high","low")</f>
        <v>low</v>
      </c>
      <c r="S195" s="1" t="str" cm="1">
        <f t="array" ref="S195">_xlfn.IFS(L195&gt;5,"high",L195=5,"medium",L195&lt;5,"low")</f>
        <v>low</v>
      </c>
      <c r="T195" s="10" t="str">
        <f t="shared" ref="T195:T258" si="18">IF(L195&gt;5,"high",IF(L195=5,"medium","low"))</f>
        <v>low</v>
      </c>
      <c r="U195" s="1">
        <f t="shared" ref="U195:U258" si="19">L195*M195</f>
        <v>1788.02</v>
      </c>
    </row>
    <row r="196" spans="1:21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15"/>
        <v>186.11099999999999</v>
      </c>
      <c r="Q196" s="1">
        <f t="shared" si="16"/>
        <v>1674.9989999999998</v>
      </c>
      <c r="R196" s="1" t="str">
        <f t="shared" si="17"/>
        <v>high</v>
      </c>
      <c r="S196" s="1" t="str" cm="1">
        <f t="array" ref="S196">_xlfn.IFS(L196&gt;5,"high",L196=5,"medium",L196&lt;5,"low")</f>
        <v>high</v>
      </c>
      <c r="T196" s="10" t="str">
        <f t="shared" si="18"/>
        <v>high</v>
      </c>
      <c r="U196" s="1">
        <f t="shared" si="19"/>
        <v>2067.8999999999996</v>
      </c>
    </row>
    <row r="197" spans="1:21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15"/>
        <v>0</v>
      </c>
      <c r="Q197" s="1">
        <f t="shared" si="16"/>
        <v>20494.88</v>
      </c>
      <c r="R197" s="1" t="str">
        <f t="shared" si="17"/>
        <v>high</v>
      </c>
      <c r="S197" s="1" t="str" cm="1">
        <f t="array" ref="S197">_xlfn.IFS(L197&gt;5,"high",L197=5,"medium",L197&lt;5,"low")</f>
        <v>high</v>
      </c>
      <c r="T197" s="10" t="str">
        <f t="shared" si="18"/>
        <v>high</v>
      </c>
      <c r="U197" s="1">
        <f t="shared" si="19"/>
        <v>20494.88</v>
      </c>
    </row>
    <row r="198" spans="1:21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15"/>
        <v>452.23599999999999</v>
      </c>
      <c r="Q198" s="1">
        <f t="shared" si="16"/>
        <v>4070.1239999999998</v>
      </c>
      <c r="R198" s="1" t="str">
        <f t="shared" si="17"/>
        <v>low</v>
      </c>
      <c r="S198" s="1" t="str" cm="1">
        <f t="array" ref="S198">_xlfn.IFS(L198&gt;5,"high",L198=5,"medium",L198&lt;5,"low")</f>
        <v>low</v>
      </c>
      <c r="T198" s="10" t="str">
        <f t="shared" si="18"/>
        <v>low</v>
      </c>
      <c r="U198" s="1">
        <f t="shared" si="19"/>
        <v>5024.84</v>
      </c>
    </row>
    <row r="199" spans="1:21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15"/>
        <v>782.226</v>
      </c>
      <c r="Q199" s="1">
        <f t="shared" si="16"/>
        <v>4432.6140000000005</v>
      </c>
      <c r="R199" s="1" t="str">
        <f t="shared" si="17"/>
        <v>high</v>
      </c>
      <c r="S199" s="1" t="str" cm="1">
        <f t="array" ref="S199">_xlfn.IFS(L199&gt;5,"high",L199=5,"medium",L199&lt;5,"low")</f>
        <v>medium</v>
      </c>
      <c r="T199" s="10" t="str">
        <f t="shared" si="18"/>
        <v>medium</v>
      </c>
      <c r="U199" s="1">
        <f t="shared" si="19"/>
        <v>6135.1</v>
      </c>
    </row>
    <row r="200" spans="1:21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15"/>
        <v>514.14800000000002</v>
      </c>
      <c r="Q200" s="1">
        <f t="shared" si="16"/>
        <v>4627.3319999999994</v>
      </c>
      <c r="R200" s="1" t="str">
        <f t="shared" si="17"/>
        <v>low</v>
      </c>
      <c r="S200" s="1" t="str" cm="1">
        <f t="array" ref="S200">_xlfn.IFS(L200&gt;5,"high",L200=5,"medium",L200&lt;5,"low")</f>
        <v>low</v>
      </c>
      <c r="T200" s="10" t="str">
        <f t="shared" si="18"/>
        <v>low</v>
      </c>
      <c r="U200" s="1">
        <f t="shared" si="19"/>
        <v>5712.76</v>
      </c>
    </row>
    <row r="201" spans="1:21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15"/>
        <v>1033.4265</v>
      </c>
      <c r="Q201" s="1">
        <f t="shared" si="16"/>
        <v>5856.0835000000006</v>
      </c>
      <c r="R201" s="1" t="str">
        <f t="shared" si="17"/>
        <v>low</v>
      </c>
      <c r="S201" s="1" t="str" cm="1">
        <f t="array" ref="S201">_xlfn.IFS(L201&gt;5,"high",L201=5,"medium",L201&lt;5,"low")</f>
        <v>low</v>
      </c>
      <c r="T201" s="10" t="str">
        <f t="shared" si="18"/>
        <v>low</v>
      </c>
      <c r="U201" s="1">
        <f t="shared" si="19"/>
        <v>8105.3099999999995</v>
      </c>
    </row>
    <row r="202" spans="1:21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15"/>
        <v>2801.5520000000001</v>
      </c>
      <c r="Q202" s="1">
        <f t="shared" si="16"/>
        <v>11206.208000000001</v>
      </c>
      <c r="R202" s="1" t="str">
        <f t="shared" si="17"/>
        <v>high</v>
      </c>
      <c r="S202" s="1" t="str" cm="1">
        <f t="array" ref="S202">_xlfn.IFS(L202&gt;5,"high",L202=5,"medium",L202&lt;5,"low")</f>
        <v>medium</v>
      </c>
      <c r="T202" s="10" t="str">
        <f t="shared" si="18"/>
        <v>medium</v>
      </c>
      <c r="U202" s="1">
        <f t="shared" si="19"/>
        <v>17509.7</v>
      </c>
    </row>
    <row r="203" spans="1:21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15"/>
        <v>0</v>
      </c>
      <c r="Q203" s="1">
        <f t="shared" si="16"/>
        <v>27652.32</v>
      </c>
      <c r="R203" s="1" t="str">
        <f t="shared" si="17"/>
        <v>high</v>
      </c>
      <c r="S203" s="1" t="str" cm="1">
        <f t="array" ref="S203">_xlfn.IFS(L203&gt;5,"high",L203=5,"medium",L203&lt;5,"low")</f>
        <v>high</v>
      </c>
      <c r="T203" s="10" t="str">
        <f t="shared" si="18"/>
        <v>high</v>
      </c>
      <c r="U203" s="1">
        <f t="shared" si="19"/>
        <v>27652.32</v>
      </c>
    </row>
    <row r="204" spans="1:21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15"/>
        <v>3777.268</v>
      </c>
      <c r="Q204" s="1">
        <f t="shared" si="16"/>
        <v>15109.072</v>
      </c>
      <c r="R204" s="1" t="str">
        <f t="shared" si="17"/>
        <v>high</v>
      </c>
      <c r="S204" s="1" t="str" cm="1">
        <f t="array" ref="S204">_xlfn.IFS(L204&gt;5,"high",L204=5,"medium",L204&lt;5,"low")</f>
        <v>high</v>
      </c>
      <c r="T204" s="10" t="str">
        <f t="shared" si="18"/>
        <v>high</v>
      </c>
      <c r="U204" s="1">
        <f t="shared" si="19"/>
        <v>23607.919999999998</v>
      </c>
    </row>
    <row r="205" spans="1:21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15"/>
        <v>765.66600000000005</v>
      </c>
      <c r="Q205" s="1">
        <f t="shared" si="16"/>
        <v>14547.654</v>
      </c>
      <c r="R205" s="1" t="str">
        <f t="shared" si="17"/>
        <v>high</v>
      </c>
      <c r="S205" s="1" t="str" cm="1">
        <f t="array" ref="S205">_xlfn.IFS(L205&gt;5,"high",L205=5,"medium",L205&lt;5,"low")</f>
        <v>high</v>
      </c>
      <c r="T205" s="10" t="str">
        <f t="shared" si="18"/>
        <v>high</v>
      </c>
      <c r="U205" s="1">
        <f t="shared" si="19"/>
        <v>16119.28</v>
      </c>
    </row>
    <row r="206" spans="1:21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15"/>
        <v>2031.2280000000001</v>
      </c>
      <c r="Q206" s="1">
        <f t="shared" si="16"/>
        <v>18281.052</v>
      </c>
      <c r="R206" s="1" t="str">
        <f t="shared" si="17"/>
        <v>high</v>
      </c>
      <c r="S206" s="1" t="str" cm="1">
        <f t="array" ref="S206">_xlfn.IFS(L206&gt;5,"high",L206=5,"medium",L206&lt;5,"low")</f>
        <v>high</v>
      </c>
      <c r="T206" s="10" t="str">
        <f t="shared" si="18"/>
        <v>high</v>
      </c>
      <c r="U206" s="1">
        <f t="shared" si="19"/>
        <v>22569.200000000001</v>
      </c>
    </row>
    <row r="207" spans="1:21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15"/>
        <v>865.6930000000001</v>
      </c>
      <c r="Q207" s="1">
        <f t="shared" si="16"/>
        <v>16448.167000000001</v>
      </c>
      <c r="R207" s="1" t="str">
        <f t="shared" si="17"/>
        <v>high</v>
      </c>
      <c r="S207" s="1" t="str" cm="1">
        <f t="array" ref="S207">_xlfn.IFS(L207&gt;5,"high",L207=5,"medium",L207&lt;5,"low")</f>
        <v>high</v>
      </c>
      <c r="T207" s="10" t="str">
        <f t="shared" si="18"/>
        <v>high</v>
      </c>
      <c r="U207" s="1">
        <f t="shared" si="19"/>
        <v>18225.12</v>
      </c>
    </row>
    <row r="208" spans="1:21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15"/>
        <v>619.01300000000003</v>
      </c>
      <c r="Q208" s="1">
        <f t="shared" si="16"/>
        <v>5571.1170000000002</v>
      </c>
      <c r="R208" s="1" t="str">
        <f t="shared" si="17"/>
        <v>high</v>
      </c>
      <c r="S208" s="1" t="str" cm="1">
        <f t="array" ref="S208">_xlfn.IFS(L208&gt;5,"high",L208=5,"medium",L208&lt;5,"low")</f>
        <v>high</v>
      </c>
      <c r="T208" s="10" t="str">
        <f t="shared" si="18"/>
        <v>high</v>
      </c>
      <c r="U208" s="1">
        <f t="shared" si="19"/>
        <v>6877.92</v>
      </c>
    </row>
    <row r="209" spans="1:21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15"/>
        <v>1219.93</v>
      </c>
      <c r="Q209" s="1">
        <f t="shared" si="16"/>
        <v>4879.7199999999993</v>
      </c>
      <c r="R209" s="1" t="str">
        <f t="shared" si="17"/>
        <v>high</v>
      </c>
      <c r="S209" s="1" t="str" cm="1">
        <f t="array" ref="S209">_xlfn.IFS(L209&gt;5,"high",L209=5,"medium",L209&lt;5,"low")</f>
        <v>high</v>
      </c>
      <c r="T209" s="10" t="str">
        <f t="shared" si="18"/>
        <v>high</v>
      </c>
      <c r="U209" s="1">
        <f t="shared" si="19"/>
        <v>7624.56</v>
      </c>
    </row>
    <row r="210" spans="1:21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15"/>
        <v>1316.9324999999999</v>
      </c>
      <c r="Q210" s="1">
        <f t="shared" si="16"/>
        <v>7462.6174999999994</v>
      </c>
      <c r="R210" s="1" t="str">
        <f t="shared" si="17"/>
        <v>high</v>
      </c>
      <c r="S210" s="1" t="str" cm="1">
        <f t="array" ref="S210">_xlfn.IFS(L210&gt;5,"high",L210=5,"medium",L210&lt;5,"low")</f>
        <v>high</v>
      </c>
      <c r="T210" s="10" t="str">
        <f t="shared" si="18"/>
        <v>high</v>
      </c>
      <c r="U210" s="1">
        <f t="shared" si="19"/>
        <v>10328.879999999999</v>
      </c>
    </row>
    <row r="211" spans="1:21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15"/>
        <v>3729.7215000000001</v>
      </c>
      <c r="Q211" s="1">
        <f t="shared" si="16"/>
        <v>21135.088500000002</v>
      </c>
      <c r="R211" s="1" t="str">
        <f t="shared" si="17"/>
        <v>high</v>
      </c>
      <c r="S211" s="1" t="str" cm="1">
        <f t="array" ref="S211">_xlfn.IFS(L211&gt;5,"high",L211=5,"medium",L211&lt;5,"low")</f>
        <v>high</v>
      </c>
      <c r="T211" s="10" t="str">
        <f t="shared" si="18"/>
        <v>high</v>
      </c>
      <c r="U211" s="1">
        <f t="shared" si="19"/>
        <v>29252.720000000001</v>
      </c>
    </row>
    <row r="212" spans="1:21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15"/>
        <v>1422.2560000000001</v>
      </c>
      <c r="Q212" s="1">
        <f t="shared" si="16"/>
        <v>12800.304</v>
      </c>
      <c r="R212" s="1" t="str">
        <f t="shared" si="17"/>
        <v>high</v>
      </c>
      <c r="S212" s="1" t="str" cm="1">
        <f t="array" ref="S212">_xlfn.IFS(L212&gt;5,"high",L212=5,"medium",L212&lt;5,"low")</f>
        <v>high</v>
      </c>
      <c r="T212" s="10" t="str">
        <f t="shared" si="18"/>
        <v>high</v>
      </c>
      <c r="U212" s="1">
        <f t="shared" si="19"/>
        <v>15802.850000000002</v>
      </c>
    </row>
    <row r="213" spans="1:21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15"/>
        <v>379.38150000000002</v>
      </c>
      <c r="Q213" s="1">
        <f t="shared" si="16"/>
        <v>2149.8285000000001</v>
      </c>
      <c r="R213" s="1" t="str">
        <f t="shared" si="17"/>
        <v>low</v>
      </c>
      <c r="S213" s="1" t="str" cm="1">
        <f t="array" ref="S213">_xlfn.IFS(L213&gt;5,"high",L213=5,"medium",L213&lt;5,"low")</f>
        <v>low</v>
      </c>
      <c r="T213" s="10" t="str">
        <f t="shared" si="18"/>
        <v>low</v>
      </c>
      <c r="U213" s="1">
        <f t="shared" si="19"/>
        <v>2975.54</v>
      </c>
    </row>
    <row r="214" spans="1:21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15"/>
        <v>949.92000000000007</v>
      </c>
      <c r="Q214" s="1">
        <f t="shared" si="16"/>
        <v>3799.6800000000003</v>
      </c>
      <c r="R214" s="1" t="str">
        <f t="shared" si="17"/>
        <v>low</v>
      </c>
      <c r="S214" s="1" t="str" cm="1">
        <f t="array" ref="S214">_xlfn.IFS(L214&gt;5,"high",L214=5,"medium",L214&lt;5,"low")</f>
        <v>low</v>
      </c>
      <c r="T214" s="10" t="str">
        <f t="shared" si="18"/>
        <v>low</v>
      </c>
      <c r="U214" s="1">
        <f t="shared" si="19"/>
        <v>5937</v>
      </c>
    </row>
    <row r="215" spans="1:21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15"/>
        <v>877.05150000000003</v>
      </c>
      <c r="Q215" s="1">
        <f t="shared" si="16"/>
        <v>4969.9585000000006</v>
      </c>
      <c r="R215" s="1" t="str">
        <f t="shared" si="17"/>
        <v>low</v>
      </c>
      <c r="S215" s="1" t="str" cm="1">
        <f t="array" ref="S215">_xlfn.IFS(L215&gt;5,"high",L215=5,"medium",L215&lt;5,"low")</f>
        <v>low</v>
      </c>
      <c r="T215" s="10" t="str">
        <f t="shared" si="18"/>
        <v>low</v>
      </c>
      <c r="U215" s="1">
        <f t="shared" si="19"/>
        <v>6878.84</v>
      </c>
    </row>
    <row r="216" spans="1:21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15"/>
        <v>506.74399999999997</v>
      </c>
      <c r="Q216" s="1">
        <f t="shared" si="16"/>
        <v>2026.9759999999999</v>
      </c>
      <c r="R216" s="1" t="str">
        <f t="shared" si="17"/>
        <v>high</v>
      </c>
      <c r="S216" s="1" t="str" cm="1">
        <f t="array" ref="S216">_xlfn.IFS(L216&gt;5,"high",L216=5,"medium",L216&lt;5,"low")</f>
        <v>medium</v>
      </c>
      <c r="T216" s="10" t="str">
        <f t="shared" si="18"/>
        <v>medium</v>
      </c>
      <c r="U216" s="1">
        <f t="shared" si="19"/>
        <v>3167.1499999999996</v>
      </c>
    </row>
    <row r="217" spans="1:21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15"/>
        <v>230.70450000000002</v>
      </c>
      <c r="Q217" s="1">
        <f t="shared" si="16"/>
        <v>4383.3855000000003</v>
      </c>
      <c r="R217" s="1" t="str">
        <f t="shared" si="17"/>
        <v>high</v>
      </c>
      <c r="S217" s="1" t="str" cm="1">
        <f t="array" ref="S217">_xlfn.IFS(L217&gt;5,"high",L217=5,"medium",L217&lt;5,"low")</f>
        <v>high</v>
      </c>
      <c r="T217" s="10" t="str">
        <f t="shared" si="18"/>
        <v>high</v>
      </c>
      <c r="U217" s="1">
        <f t="shared" si="19"/>
        <v>4856.9400000000005</v>
      </c>
    </row>
    <row r="218" spans="1:21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15"/>
        <v>2134.6040000000003</v>
      </c>
      <c r="Q218" s="1">
        <f t="shared" si="16"/>
        <v>8538.4160000000011</v>
      </c>
      <c r="R218" s="1" t="str">
        <f t="shared" si="17"/>
        <v>low</v>
      </c>
      <c r="S218" s="1" t="str" cm="1">
        <f t="array" ref="S218">_xlfn.IFS(L218&gt;5,"high",L218=5,"medium",L218&lt;5,"low")</f>
        <v>low</v>
      </c>
      <c r="T218" s="10" t="str">
        <f t="shared" si="18"/>
        <v>low</v>
      </c>
      <c r="U218" s="1">
        <f t="shared" si="19"/>
        <v>13341.28</v>
      </c>
    </row>
    <row r="219" spans="1:21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15"/>
        <v>0</v>
      </c>
      <c r="Q219" s="1">
        <f t="shared" si="16"/>
        <v>4803.26</v>
      </c>
      <c r="R219" s="1" t="str">
        <f t="shared" si="17"/>
        <v>low</v>
      </c>
      <c r="S219" s="1" t="str" cm="1">
        <f t="array" ref="S219">_xlfn.IFS(L219&gt;5,"high",L219=5,"medium",L219&lt;5,"low")</f>
        <v>low</v>
      </c>
      <c r="T219" s="10" t="str">
        <f t="shared" si="18"/>
        <v>low</v>
      </c>
      <c r="U219" s="1">
        <f t="shared" si="19"/>
        <v>4803.26</v>
      </c>
    </row>
    <row r="220" spans="1:21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15"/>
        <v>0</v>
      </c>
      <c r="Q220" s="1">
        <f t="shared" si="16"/>
        <v>8697</v>
      </c>
      <c r="R220" s="1" t="str">
        <f t="shared" si="17"/>
        <v>high</v>
      </c>
      <c r="S220" s="1" t="str" cm="1">
        <f t="array" ref="S220">_xlfn.IFS(L220&gt;5,"high",L220=5,"medium",L220&lt;5,"low")</f>
        <v>high</v>
      </c>
      <c r="T220" s="10" t="str">
        <f t="shared" si="18"/>
        <v>high</v>
      </c>
      <c r="U220" s="1">
        <f t="shared" si="19"/>
        <v>8697</v>
      </c>
    </row>
    <row r="221" spans="1:21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15"/>
        <v>0</v>
      </c>
      <c r="Q221" s="1">
        <f t="shared" si="16"/>
        <v>25927.84</v>
      </c>
      <c r="R221" s="1" t="str">
        <f t="shared" si="17"/>
        <v>high</v>
      </c>
      <c r="S221" s="1" t="str" cm="1">
        <f t="array" ref="S221">_xlfn.IFS(L221&gt;5,"high",L221=5,"medium",L221&lt;5,"low")</f>
        <v>high</v>
      </c>
      <c r="T221" s="10" t="str">
        <f t="shared" si="18"/>
        <v>high</v>
      </c>
      <c r="U221" s="1">
        <f t="shared" si="19"/>
        <v>25927.84</v>
      </c>
    </row>
    <row r="222" spans="1:21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15"/>
        <v>791.35200000000009</v>
      </c>
      <c r="Q222" s="1">
        <f t="shared" si="16"/>
        <v>7122.1680000000006</v>
      </c>
      <c r="R222" s="1" t="str">
        <f t="shared" si="17"/>
        <v>high</v>
      </c>
      <c r="S222" s="1" t="str" cm="1">
        <f t="array" ref="S222">_xlfn.IFS(L222&gt;5,"high",L222=5,"medium",L222&lt;5,"low")</f>
        <v>high</v>
      </c>
      <c r="T222" s="10" t="str">
        <f t="shared" si="18"/>
        <v>high</v>
      </c>
      <c r="U222" s="1">
        <f t="shared" si="19"/>
        <v>8792.7999999999993</v>
      </c>
    </row>
    <row r="223" spans="1:21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15"/>
        <v>2461.8700000000003</v>
      </c>
      <c r="Q223" s="1">
        <f t="shared" si="16"/>
        <v>22156.83</v>
      </c>
      <c r="R223" s="1" t="str">
        <f t="shared" si="17"/>
        <v>high</v>
      </c>
      <c r="S223" s="1" t="str" cm="1">
        <f t="array" ref="S223">_xlfn.IFS(L223&gt;5,"high",L223=5,"medium",L223&lt;5,"low")</f>
        <v>high</v>
      </c>
      <c r="T223" s="10" t="str">
        <f t="shared" si="18"/>
        <v>high</v>
      </c>
      <c r="U223" s="1">
        <f t="shared" si="19"/>
        <v>27354.11</v>
      </c>
    </row>
    <row r="224" spans="1:21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15"/>
        <v>797.87700000000007</v>
      </c>
      <c r="Q224" s="1">
        <f t="shared" si="16"/>
        <v>7180.893</v>
      </c>
      <c r="R224" s="1" t="str">
        <f t="shared" si="17"/>
        <v>high</v>
      </c>
      <c r="S224" s="1" t="str" cm="1">
        <f t="array" ref="S224">_xlfn.IFS(L224&gt;5,"high",L224=5,"medium",L224&lt;5,"low")</f>
        <v>high</v>
      </c>
      <c r="T224" s="10" t="str">
        <f t="shared" si="18"/>
        <v>high</v>
      </c>
      <c r="U224" s="1">
        <f t="shared" si="19"/>
        <v>8865.2999999999993</v>
      </c>
    </row>
    <row r="225" spans="1:21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15"/>
        <v>463.56800000000004</v>
      </c>
      <c r="Q225" s="1">
        <f t="shared" si="16"/>
        <v>1854.2720000000002</v>
      </c>
      <c r="R225" s="1" t="str">
        <f t="shared" si="17"/>
        <v>low</v>
      </c>
      <c r="S225" s="1" t="str" cm="1">
        <f t="array" ref="S225">_xlfn.IFS(L225&gt;5,"high",L225=5,"medium",L225&lt;5,"low")</f>
        <v>low</v>
      </c>
      <c r="T225" s="10" t="str">
        <f t="shared" si="18"/>
        <v>low</v>
      </c>
      <c r="U225" s="1">
        <f t="shared" si="19"/>
        <v>2897.3</v>
      </c>
    </row>
    <row r="226" spans="1:21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15"/>
        <v>851.04200000000003</v>
      </c>
      <c r="Q226" s="1">
        <f t="shared" si="16"/>
        <v>7659.3779999999997</v>
      </c>
      <c r="R226" s="1" t="str">
        <f t="shared" si="17"/>
        <v>high</v>
      </c>
      <c r="S226" s="1" t="str" cm="1">
        <f t="array" ref="S226">_xlfn.IFS(L226&gt;5,"high",L226=5,"medium",L226&lt;5,"low")</f>
        <v>high</v>
      </c>
      <c r="T226" s="10" t="str">
        <f t="shared" si="18"/>
        <v>high</v>
      </c>
      <c r="U226" s="1">
        <f t="shared" si="19"/>
        <v>9456.0199999999986</v>
      </c>
    </row>
    <row r="227" spans="1:21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15"/>
        <v>147.28100000000001</v>
      </c>
      <c r="Q227" s="1">
        <f t="shared" si="16"/>
        <v>2798.3389999999999</v>
      </c>
      <c r="R227" s="1" t="str">
        <f t="shared" si="17"/>
        <v>high</v>
      </c>
      <c r="S227" s="1" t="str" cm="1">
        <f t="array" ref="S227">_xlfn.IFS(L227&gt;5,"high",L227=5,"medium",L227&lt;5,"low")</f>
        <v>medium</v>
      </c>
      <c r="T227" s="10" t="str">
        <f t="shared" si="18"/>
        <v>medium</v>
      </c>
      <c r="U227" s="1">
        <f t="shared" si="19"/>
        <v>3100.65</v>
      </c>
    </row>
    <row r="228" spans="1:21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15"/>
        <v>0</v>
      </c>
      <c r="Q228" s="1">
        <f t="shared" si="16"/>
        <v>3467.28</v>
      </c>
      <c r="R228" s="1" t="str">
        <f t="shared" si="17"/>
        <v>high</v>
      </c>
      <c r="S228" s="1" t="str" cm="1">
        <f t="array" ref="S228">_xlfn.IFS(L228&gt;5,"high",L228=5,"medium",L228&lt;5,"low")</f>
        <v>high</v>
      </c>
      <c r="T228" s="10" t="str">
        <f t="shared" si="18"/>
        <v>high</v>
      </c>
      <c r="U228" s="1">
        <f t="shared" si="19"/>
        <v>3467.2799999999997</v>
      </c>
    </row>
    <row r="229" spans="1:21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15"/>
        <v>3385.8559999999998</v>
      </c>
      <c r="Q229" s="1">
        <f t="shared" si="16"/>
        <v>13543.423999999999</v>
      </c>
      <c r="R229" s="1" t="str">
        <f t="shared" si="17"/>
        <v>high</v>
      </c>
      <c r="S229" s="1" t="str" cm="1">
        <f t="array" ref="S229">_xlfn.IFS(L229&gt;5,"high",L229=5,"medium",L229&lt;5,"low")</f>
        <v>high</v>
      </c>
      <c r="T229" s="10" t="str">
        <f t="shared" si="18"/>
        <v>high</v>
      </c>
      <c r="U229" s="1">
        <f t="shared" si="19"/>
        <v>21161.599999999999</v>
      </c>
    </row>
    <row r="230" spans="1:21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15"/>
        <v>0</v>
      </c>
      <c r="Q230" s="1">
        <f t="shared" si="16"/>
        <v>28153.599999999999</v>
      </c>
      <c r="R230" s="1" t="str">
        <f t="shared" si="17"/>
        <v>high</v>
      </c>
      <c r="S230" s="1" t="str" cm="1">
        <f t="array" ref="S230">_xlfn.IFS(L230&gt;5,"high",L230=5,"medium",L230&lt;5,"low")</f>
        <v>high</v>
      </c>
      <c r="T230" s="10" t="str">
        <f t="shared" si="18"/>
        <v>high</v>
      </c>
      <c r="U230" s="1">
        <f t="shared" si="19"/>
        <v>28153.599999999999</v>
      </c>
    </row>
    <row r="231" spans="1:21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15"/>
        <v>862.24500000000012</v>
      </c>
      <c r="Q231" s="1">
        <f t="shared" si="16"/>
        <v>7760.2050000000008</v>
      </c>
      <c r="R231" s="1" t="str">
        <f t="shared" si="17"/>
        <v>low</v>
      </c>
      <c r="S231" s="1" t="str" cm="1">
        <f t="array" ref="S231">_xlfn.IFS(L231&gt;5,"high",L231=5,"medium",L231&lt;5,"low")</f>
        <v>low</v>
      </c>
      <c r="T231" s="10" t="str">
        <f t="shared" si="18"/>
        <v>low</v>
      </c>
      <c r="U231" s="1">
        <f t="shared" si="19"/>
        <v>9580.5</v>
      </c>
    </row>
    <row r="232" spans="1:21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15"/>
        <v>776.45200000000011</v>
      </c>
      <c r="Q232" s="1">
        <f t="shared" si="16"/>
        <v>3105.808</v>
      </c>
      <c r="R232" s="1" t="str">
        <f t="shared" si="17"/>
        <v>high</v>
      </c>
      <c r="S232" s="1" t="str" cm="1">
        <f t="array" ref="S232">_xlfn.IFS(L232&gt;5,"high",L232=5,"medium",L232&lt;5,"low")</f>
        <v>high</v>
      </c>
      <c r="T232" s="10" t="str">
        <f t="shared" si="18"/>
        <v>high</v>
      </c>
      <c r="U232" s="1">
        <f t="shared" si="19"/>
        <v>4852.82</v>
      </c>
    </row>
    <row r="233" spans="1:21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15"/>
        <v>286.93799999999999</v>
      </c>
      <c r="Q233" s="1">
        <f t="shared" si="16"/>
        <v>1625.982</v>
      </c>
      <c r="R233" s="1" t="str">
        <f t="shared" si="17"/>
        <v>low</v>
      </c>
      <c r="S233" s="1" t="str" cm="1">
        <f t="array" ref="S233">_xlfn.IFS(L233&gt;5,"high",L233=5,"medium",L233&lt;5,"low")</f>
        <v>low</v>
      </c>
      <c r="T233" s="10" t="str">
        <f t="shared" si="18"/>
        <v>low</v>
      </c>
      <c r="U233" s="1">
        <f t="shared" si="19"/>
        <v>2250.4899999999998</v>
      </c>
    </row>
    <row r="234" spans="1:21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15"/>
        <v>26.435000000000002</v>
      </c>
      <c r="Q234" s="1">
        <f t="shared" si="16"/>
        <v>502.26500000000004</v>
      </c>
      <c r="R234" s="1" t="str">
        <f t="shared" si="17"/>
        <v>low</v>
      </c>
      <c r="S234" s="1" t="str" cm="1">
        <f t="array" ref="S234">_xlfn.IFS(L234&gt;5,"high",L234=5,"medium",L234&lt;5,"low")</f>
        <v>low</v>
      </c>
      <c r="T234" s="10" t="str">
        <f t="shared" si="18"/>
        <v>low</v>
      </c>
      <c r="U234" s="1">
        <f t="shared" si="19"/>
        <v>556.53</v>
      </c>
    </row>
    <row r="235" spans="1:21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15"/>
        <v>204.35900000000001</v>
      </c>
      <c r="Q235" s="1">
        <f t="shared" si="16"/>
        <v>1839.231</v>
      </c>
      <c r="R235" s="1" t="str">
        <f t="shared" si="17"/>
        <v>high</v>
      </c>
      <c r="S235" s="1" t="str" cm="1">
        <f t="array" ref="S235">_xlfn.IFS(L235&gt;5,"high",L235=5,"medium",L235&lt;5,"low")</f>
        <v>high</v>
      </c>
      <c r="T235" s="10" t="str">
        <f t="shared" si="18"/>
        <v>high</v>
      </c>
      <c r="U235" s="1">
        <f t="shared" si="19"/>
        <v>2270.66</v>
      </c>
    </row>
    <row r="236" spans="1:21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15"/>
        <v>2168.4430000000002</v>
      </c>
      <c r="Q236" s="1">
        <f t="shared" si="16"/>
        <v>19515.987000000001</v>
      </c>
      <c r="R236" s="1" t="str">
        <f t="shared" si="17"/>
        <v>high</v>
      </c>
      <c r="S236" s="1" t="str" cm="1">
        <f t="array" ref="S236">_xlfn.IFS(L236&gt;5,"high",L236=5,"medium",L236&lt;5,"low")</f>
        <v>high</v>
      </c>
      <c r="T236" s="10" t="str">
        <f t="shared" si="18"/>
        <v>high</v>
      </c>
      <c r="U236" s="1">
        <f t="shared" si="19"/>
        <v>24093.81</v>
      </c>
    </row>
    <row r="237" spans="1:21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15"/>
        <v>734.9380000000001</v>
      </c>
      <c r="Q237" s="1">
        <f t="shared" si="16"/>
        <v>13963.822</v>
      </c>
      <c r="R237" s="1" t="str">
        <f t="shared" si="17"/>
        <v>high</v>
      </c>
      <c r="S237" s="1" t="str" cm="1">
        <f t="array" ref="S237">_xlfn.IFS(L237&gt;5,"high",L237=5,"medium",L237&lt;5,"low")</f>
        <v>high</v>
      </c>
      <c r="T237" s="10" t="str">
        <f t="shared" si="18"/>
        <v>high</v>
      </c>
      <c r="U237" s="1">
        <f t="shared" si="19"/>
        <v>15472.380000000001</v>
      </c>
    </row>
    <row r="238" spans="1:21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15"/>
        <v>110.625</v>
      </c>
      <c r="Q238" s="1">
        <f t="shared" si="16"/>
        <v>2101.875</v>
      </c>
      <c r="R238" s="1" t="str">
        <f t="shared" si="17"/>
        <v>high</v>
      </c>
      <c r="S238" s="1" t="str" cm="1">
        <f t="array" ref="S238">_xlfn.IFS(L238&gt;5,"high",L238=5,"medium",L238&lt;5,"low")</f>
        <v>medium</v>
      </c>
      <c r="T238" s="10" t="str">
        <f t="shared" si="18"/>
        <v>medium</v>
      </c>
      <c r="U238" s="1">
        <f t="shared" si="19"/>
        <v>2328.9500000000003</v>
      </c>
    </row>
    <row r="239" spans="1:21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15"/>
        <v>290.21100000000001</v>
      </c>
      <c r="Q239" s="1">
        <f t="shared" si="16"/>
        <v>1644.529</v>
      </c>
      <c r="R239" s="1" t="str">
        <f t="shared" si="17"/>
        <v>high</v>
      </c>
      <c r="S239" s="1" t="str" cm="1">
        <f t="array" ref="S239">_xlfn.IFS(L239&gt;5,"high",L239=5,"medium",L239&lt;5,"low")</f>
        <v>high</v>
      </c>
      <c r="T239" s="10" t="str">
        <f t="shared" si="18"/>
        <v>high</v>
      </c>
      <c r="U239" s="1">
        <f t="shared" si="19"/>
        <v>2276.16</v>
      </c>
    </row>
    <row r="240" spans="1:21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15"/>
        <v>712.90100000000007</v>
      </c>
      <c r="Q240" s="1">
        <f t="shared" si="16"/>
        <v>6416.1090000000004</v>
      </c>
      <c r="R240" s="1" t="str">
        <f t="shared" si="17"/>
        <v>low</v>
      </c>
      <c r="S240" s="1" t="str" cm="1">
        <f t="array" ref="S240">_xlfn.IFS(L240&gt;5,"high",L240=5,"medium",L240&lt;5,"low")</f>
        <v>low</v>
      </c>
      <c r="T240" s="10" t="str">
        <f t="shared" si="18"/>
        <v>low</v>
      </c>
      <c r="U240" s="1">
        <f t="shared" si="19"/>
        <v>7921.12</v>
      </c>
    </row>
    <row r="241" spans="1:21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15"/>
        <v>215.12</v>
      </c>
      <c r="Q241" s="1">
        <f t="shared" si="16"/>
        <v>1936.08</v>
      </c>
      <c r="R241" s="1" t="str">
        <f t="shared" si="17"/>
        <v>high</v>
      </c>
      <c r="S241" s="1" t="str" cm="1">
        <f t="array" ref="S241">_xlfn.IFS(L241&gt;5,"high",L241=5,"medium",L241&lt;5,"low")</f>
        <v>high</v>
      </c>
      <c r="T241" s="10" t="str">
        <f t="shared" si="18"/>
        <v>high</v>
      </c>
      <c r="U241" s="1">
        <f t="shared" si="19"/>
        <v>2390.2199999999998</v>
      </c>
    </row>
    <row r="242" spans="1:21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15"/>
        <v>0</v>
      </c>
      <c r="Q242" s="1">
        <f t="shared" si="16"/>
        <v>11168.58</v>
      </c>
      <c r="R242" s="1" t="str">
        <f t="shared" si="17"/>
        <v>high</v>
      </c>
      <c r="S242" s="1" t="str" cm="1">
        <f t="array" ref="S242">_xlfn.IFS(L242&gt;5,"high",L242=5,"medium",L242&lt;5,"low")</f>
        <v>high</v>
      </c>
      <c r="T242" s="10" t="str">
        <f t="shared" si="18"/>
        <v>high</v>
      </c>
      <c r="U242" s="1">
        <f t="shared" si="19"/>
        <v>11168.58</v>
      </c>
    </row>
    <row r="243" spans="1:21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15"/>
        <v>3013.6040000000003</v>
      </c>
      <c r="Q243" s="1">
        <f t="shared" si="16"/>
        <v>12054.416000000001</v>
      </c>
      <c r="R243" s="1" t="str">
        <f t="shared" si="17"/>
        <v>high</v>
      </c>
      <c r="S243" s="1" t="str" cm="1">
        <f t="array" ref="S243">_xlfn.IFS(L243&gt;5,"high",L243=5,"medium",L243&lt;5,"low")</f>
        <v>high</v>
      </c>
      <c r="T243" s="10" t="str">
        <f t="shared" si="18"/>
        <v>high</v>
      </c>
      <c r="U243" s="1">
        <f t="shared" si="19"/>
        <v>18835.02</v>
      </c>
    </row>
    <row r="244" spans="1:21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15"/>
        <v>192.49</v>
      </c>
      <c r="Q244" s="1">
        <f t="shared" si="16"/>
        <v>769.96</v>
      </c>
      <c r="R244" s="1" t="str">
        <f t="shared" si="17"/>
        <v>low</v>
      </c>
      <c r="S244" s="1" t="str" cm="1">
        <f t="array" ref="S244">_xlfn.IFS(L244&gt;5,"high",L244=5,"medium",L244&lt;5,"low")</f>
        <v>low</v>
      </c>
      <c r="T244" s="10" t="str">
        <f t="shared" si="18"/>
        <v>low</v>
      </c>
      <c r="U244" s="1">
        <f t="shared" si="19"/>
        <v>1203.06</v>
      </c>
    </row>
    <row r="245" spans="1:21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15"/>
        <v>0</v>
      </c>
      <c r="Q245" s="1">
        <f t="shared" si="16"/>
        <v>2402.67</v>
      </c>
      <c r="R245" s="1" t="str">
        <f t="shared" si="17"/>
        <v>low</v>
      </c>
      <c r="S245" s="1" t="str" cm="1">
        <f t="array" ref="S245">_xlfn.IFS(L245&gt;5,"high",L245=5,"medium",L245&lt;5,"low")</f>
        <v>low</v>
      </c>
      <c r="T245" s="10" t="str">
        <f t="shared" si="18"/>
        <v>low</v>
      </c>
      <c r="U245" s="1">
        <f t="shared" si="19"/>
        <v>2402.67</v>
      </c>
    </row>
    <row r="246" spans="1:21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15"/>
        <v>1925.6959999999999</v>
      </c>
      <c r="Q246" s="1">
        <f t="shared" si="16"/>
        <v>7702.7839999999997</v>
      </c>
      <c r="R246" s="1" t="str">
        <f t="shared" si="17"/>
        <v>high</v>
      </c>
      <c r="S246" s="1" t="str" cm="1">
        <f t="array" ref="S246">_xlfn.IFS(L246&gt;5,"high",L246=5,"medium",L246&lt;5,"low")</f>
        <v>high</v>
      </c>
      <c r="T246" s="10" t="str">
        <f t="shared" si="18"/>
        <v>high</v>
      </c>
      <c r="U246" s="1">
        <f t="shared" si="19"/>
        <v>12035.6</v>
      </c>
    </row>
    <row r="247" spans="1:21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15"/>
        <v>146.41650000000001</v>
      </c>
      <c r="Q247" s="1">
        <f t="shared" si="16"/>
        <v>2781.9135000000001</v>
      </c>
      <c r="R247" s="1" t="str">
        <f t="shared" si="17"/>
        <v>low</v>
      </c>
      <c r="S247" s="1" t="str" cm="1">
        <f t="array" ref="S247">_xlfn.IFS(L247&gt;5,"high",L247=5,"medium",L247&lt;5,"low")</f>
        <v>low</v>
      </c>
      <c r="T247" s="10" t="str">
        <f t="shared" si="18"/>
        <v>low</v>
      </c>
      <c r="U247" s="1">
        <f t="shared" si="19"/>
        <v>3082.45</v>
      </c>
    </row>
    <row r="248" spans="1:21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15"/>
        <v>2354.5419999999999</v>
      </c>
      <c r="Q248" s="1">
        <f t="shared" si="16"/>
        <v>9418.1679999999997</v>
      </c>
      <c r="R248" s="1" t="str">
        <f t="shared" si="17"/>
        <v>high</v>
      </c>
      <c r="S248" s="1" t="str" cm="1">
        <f t="array" ref="S248">_xlfn.IFS(L248&gt;5,"high",L248=5,"medium",L248&lt;5,"low")</f>
        <v>high</v>
      </c>
      <c r="T248" s="10" t="str">
        <f t="shared" si="18"/>
        <v>high</v>
      </c>
      <c r="U248" s="1">
        <f t="shared" si="19"/>
        <v>14715.89</v>
      </c>
    </row>
    <row r="249" spans="1:21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15"/>
        <v>2918.63</v>
      </c>
      <c r="Q249" s="1">
        <f t="shared" si="16"/>
        <v>11674.52</v>
      </c>
      <c r="R249" s="1" t="str">
        <f t="shared" si="17"/>
        <v>high</v>
      </c>
      <c r="S249" s="1" t="str" cm="1">
        <f t="array" ref="S249">_xlfn.IFS(L249&gt;5,"high",L249=5,"medium",L249&lt;5,"low")</f>
        <v>high</v>
      </c>
      <c r="T249" s="10" t="str">
        <f t="shared" si="18"/>
        <v>high</v>
      </c>
      <c r="U249" s="1">
        <f t="shared" si="19"/>
        <v>18241.440000000002</v>
      </c>
    </row>
    <row r="250" spans="1:21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15"/>
        <v>0</v>
      </c>
      <c r="Q250" s="1">
        <f t="shared" si="16"/>
        <v>3942.92</v>
      </c>
      <c r="R250" s="1" t="str">
        <f t="shared" si="17"/>
        <v>low</v>
      </c>
      <c r="S250" s="1" t="str" cm="1">
        <f t="array" ref="S250">_xlfn.IFS(L250&gt;5,"high",L250=5,"medium",L250&lt;5,"low")</f>
        <v>low</v>
      </c>
      <c r="T250" s="10" t="str">
        <f t="shared" si="18"/>
        <v>low</v>
      </c>
      <c r="U250" s="1">
        <f t="shared" si="19"/>
        <v>3942.92</v>
      </c>
    </row>
    <row r="251" spans="1:21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15"/>
        <v>3565.0754999999995</v>
      </c>
      <c r="Q251" s="1">
        <f t="shared" si="16"/>
        <v>20202.094499999999</v>
      </c>
      <c r="R251" s="1" t="str">
        <f t="shared" si="17"/>
        <v>high</v>
      </c>
      <c r="S251" s="1" t="str" cm="1">
        <f t="array" ref="S251">_xlfn.IFS(L251&gt;5,"high",L251=5,"medium",L251&lt;5,"low")</f>
        <v>high</v>
      </c>
      <c r="T251" s="10" t="str">
        <f t="shared" si="18"/>
        <v>high</v>
      </c>
      <c r="U251" s="1">
        <f t="shared" si="19"/>
        <v>27961.38</v>
      </c>
    </row>
    <row r="252" spans="1:21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15"/>
        <v>2332.5320000000002</v>
      </c>
      <c r="Q252" s="1">
        <f t="shared" si="16"/>
        <v>9330.1280000000006</v>
      </c>
      <c r="R252" s="1" t="str">
        <f t="shared" si="17"/>
        <v>high</v>
      </c>
      <c r="S252" s="1" t="str" cm="1">
        <f t="array" ref="S252">_xlfn.IFS(L252&gt;5,"high",L252=5,"medium",L252&lt;5,"low")</f>
        <v>high</v>
      </c>
      <c r="T252" s="10" t="str">
        <f t="shared" si="18"/>
        <v>high</v>
      </c>
      <c r="U252" s="1">
        <f t="shared" si="19"/>
        <v>14578.32</v>
      </c>
    </row>
    <row r="253" spans="1:21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15"/>
        <v>1196.0319999999999</v>
      </c>
      <c r="Q253" s="1">
        <f t="shared" si="16"/>
        <v>4784.1279999999997</v>
      </c>
      <c r="R253" s="1" t="str">
        <f t="shared" si="17"/>
        <v>low</v>
      </c>
      <c r="S253" s="1" t="str" cm="1">
        <f t="array" ref="S253">_xlfn.IFS(L253&gt;5,"high",L253=5,"medium",L253&lt;5,"low")</f>
        <v>low</v>
      </c>
      <c r="T253" s="10" t="str">
        <f t="shared" si="18"/>
        <v>low</v>
      </c>
      <c r="U253" s="1">
        <f t="shared" si="19"/>
        <v>7475.2</v>
      </c>
    </row>
    <row r="254" spans="1:21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15"/>
        <v>1614.3225</v>
      </c>
      <c r="Q254" s="1">
        <f t="shared" si="16"/>
        <v>9147.8274999999994</v>
      </c>
      <c r="R254" s="1" t="str">
        <f t="shared" si="17"/>
        <v>high</v>
      </c>
      <c r="S254" s="1" t="str" cm="1">
        <f t="array" ref="S254">_xlfn.IFS(L254&gt;5,"high",L254=5,"medium",L254&lt;5,"low")</f>
        <v>medium</v>
      </c>
      <c r="T254" s="10" t="str">
        <f t="shared" si="18"/>
        <v>medium</v>
      </c>
      <c r="U254" s="1">
        <f t="shared" si="19"/>
        <v>12661.35</v>
      </c>
    </row>
    <row r="255" spans="1:21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15"/>
        <v>0</v>
      </c>
      <c r="Q255" s="1">
        <f t="shared" si="16"/>
        <v>5423.32</v>
      </c>
      <c r="R255" s="1" t="str">
        <f t="shared" si="17"/>
        <v>low</v>
      </c>
      <c r="S255" s="1" t="str" cm="1">
        <f t="array" ref="S255">_xlfn.IFS(L255&gt;5,"high",L255=5,"medium",L255&lt;5,"low")</f>
        <v>low</v>
      </c>
      <c r="T255" s="10" t="str">
        <f t="shared" si="18"/>
        <v>low</v>
      </c>
      <c r="U255" s="1">
        <f t="shared" si="19"/>
        <v>5423.32</v>
      </c>
    </row>
    <row r="256" spans="1:21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15"/>
        <v>2384.2064999999998</v>
      </c>
      <c r="Q256" s="1">
        <f t="shared" si="16"/>
        <v>13510.503499999999</v>
      </c>
      <c r="R256" s="1" t="str">
        <f t="shared" si="17"/>
        <v>high</v>
      </c>
      <c r="S256" s="1" t="str" cm="1">
        <f t="array" ref="S256">_xlfn.IFS(L256&gt;5,"high",L256=5,"medium",L256&lt;5,"low")</f>
        <v>high</v>
      </c>
      <c r="T256" s="10" t="str">
        <f t="shared" si="18"/>
        <v>high</v>
      </c>
      <c r="U256" s="1">
        <f t="shared" si="19"/>
        <v>18699.659999999996</v>
      </c>
    </row>
    <row r="257" spans="1:21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15"/>
        <v>0</v>
      </c>
      <c r="Q257" s="1">
        <f t="shared" si="16"/>
        <v>15796.32</v>
      </c>
      <c r="R257" s="1" t="str">
        <f t="shared" si="17"/>
        <v>high</v>
      </c>
      <c r="S257" s="1" t="str" cm="1">
        <f t="array" ref="S257">_xlfn.IFS(L257&gt;5,"high",L257=5,"medium",L257&lt;5,"low")</f>
        <v>high</v>
      </c>
      <c r="T257" s="10" t="str">
        <f t="shared" si="18"/>
        <v>high</v>
      </c>
      <c r="U257" s="1">
        <f t="shared" si="19"/>
        <v>15796.32</v>
      </c>
    </row>
    <row r="258" spans="1:21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15"/>
        <v>34.285500000000006</v>
      </c>
      <c r="Q258" s="1">
        <f t="shared" si="16"/>
        <v>651.42450000000008</v>
      </c>
      <c r="R258" s="1" t="str">
        <f t="shared" si="17"/>
        <v>low</v>
      </c>
      <c r="S258" s="1" t="str" cm="1">
        <f t="array" ref="S258">_xlfn.IFS(L258&gt;5,"high",L258=5,"medium",L258&lt;5,"low")</f>
        <v>low</v>
      </c>
      <c r="T258" s="10" t="str">
        <f t="shared" si="18"/>
        <v>low</v>
      </c>
      <c r="U258" s="1">
        <f t="shared" si="19"/>
        <v>721.8</v>
      </c>
    </row>
    <row r="259" spans="1:21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20">O259*N259%</f>
        <v>0</v>
      </c>
      <c r="Q259" s="1">
        <f t="shared" ref="Q259:Q322" si="21">O259-P259</f>
        <v>12628.35</v>
      </c>
      <c r="R259" s="1" t="str">
        <f t="shared" ref="R259:R322" si="22">IF(L259&gt;=5,"high","low")</f>
        <v>high</v>
      </c>
      <c r="S259" s="1" t="str" cm="1">
        <f t="array" ref="S259">_xlfn.IFS(L259&gt;5,"high",L259=5,"medium",L259&lt;5,"low")</f>
        <v>high</v>
      </c>
      <c r="T259" s="10" t="str">
        <f t="shared" ref="T259:T322" si="23">IF(L259&gt;5,"high",IF(L259=5,"medium","low"))</f>
        <v>high</v>
      </c>
      <c r="U259" s="1">
        <f t="shared" ref="U259:U322" si="24">L259*M259</f>
        <v>12628.35</v>
      </c>
    </row>
    <row r="260" spans="1:21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20"/>
        <v>523.22149999999999</v>
      </c>
      <c r="Q260" s="1">
        <f t="shared" si="21"/>
        <v>9941.2085000000006</v>
      </c>
      <c r="R260" s="1" t="str">
        <f t="shared" si="22"/>
        <v>high</v>
      </c>
      <c r="S260" s="1" t="str" cm="1">
        <f t="array" ref="S260">_xlfn.IFS(L260&gt;5,"high",L260=5,"medium",L260&lt;5,"low")</f>
        <v>high</v>
      </c>
      <c r="T260" s="10" t="str">
        <f t="shared" si="23"/>
        <v>high</v>
      </c>
      <c r="U260" s="1">
        <f t="shared" si="24"/>
        <v>11015.19</v>
      </c>
    </row>
    <row r="261" spans="1:21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20"/>
        <v>92.242999999999995</v>
      </c>
      <c r="Q261" s="1">
        <f t="shared" si="21"/>
        <v>1752.617</v>
      </c>
      <c r="R261" s="1" t="str">
        <f t="shared" si="22"/>
        <v>low</v>
      </c>
      <c r="S261" s="1" t="str" cm="1">
        <f t="array" ref="S261">_xlfn.IFS(L261&gt;5,"high",L261=5,"medium",L261&lt;5,"low")</f>
        <v>low</v>
      </c>
      <c r="T261" s="10" t="str">
        <f t="shared" si="23"/>
        <v>low</v>
      </c>
      <c r="U261" s="1">
        <f t="shared" si="24"/>
        <v>1941.96</v>
      </c>
    </row>
    <row r="262" spans="1:21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20"/>
        <v>0</v>
      </c>
      <c r="Q262" s="1">
        <f t="shared" si="21"/>
        <v>1066.5</v>
      </c>
      <c r="R262" s="1" t="str">
        <f t="shared" si="22"/>
        <v>low</v>
      </c>
      <c r="S262" s="1" t="str" cm="1">
        <f t="array" ref="S262">_xlfn.IFS(L262&gt;5,"high",L262=5,"medium",L262&lt;5,"low")</f>
        <v>low</v>
      </c>
      <c r="T262" s="10" t="str">
        <f t="shared" si="23"/>
        <v>low</v>
      </c>
      <c r="U262" s="1">
        <f t="shared" si="24"/>
        <v>1066.5</v>
      </c>
    </row>
    <row r="263" spans="1:21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20"/>
        <v>1557.5430000000001</v>
      </c>
      <c r="Q263" s="1">
        <f t="shared" si="21"/>
        <v>14017.887000000001</v>
      </c>
      <c r="R263" s="1" t="str">
        <f t="shared" si="22"/>
        <v>high</v>
      </c>
      <c r="S263" s="1" t="str" cm="1">
        <f t="array" ref="S263">_xlfn.IFS(L263&gt;5,"high",L263=5,"medium",L263&lt;5,"low")</f>
        <v>high</v>
      </c>
      <c r="T263" s="10" t="str">
        <f t="shared" si="23"/>
        <v>high</v>
      </c>
      <c r="U263" s="1">
        <f t="shared" si="24"/>
        <v>17306.03</v>
      </c>
    </row>
    <row r="264" spans="1:21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20"/>
        <v>0</v>
      </c>
      <c r="Q264" s="1">
        <f t="shared" si="21"/>
        <v>15161.02</v>
      </c>
      <c r="R264" s="1" t="str">
        <f t="shared" si="22"/>
        <v>high</v>
      </c>
      <c r="S264" s="1" t="str" cm="1">
        <f t="array" ref="S264">_xlfn.IFS(L264&gt;5,"high",L264=5,"medium",L264&lt;5,"low")</f>
        <v>high</v>
      </c>
      <c r="T264" s="10" t="str">
        <f t="shared" si="23"/>
        <v>high</v>
      </c>
      <c r="U264" s="1">
        <f t="shared" si="24"/>
        <v>15161.02</v>
      </c>
    </row>
    <row r="265" spans="1:21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20"/>
        <v>720.83199999999999</v>
      </c>
      <c r="Q265" s="1">
        <f t="shared" si="21"/>
        <v>2883.328</v>
      </c>
      <c r="R265" s="1" t="str">
        <f t="shared" si="22"/>
        <v>low</v>
      </c>
      <c r="S265" s="1" t="str" cm="1">
        <f t="array" ref="S265">_xlfn.IFS(L265&gt;5,"high",L265=5,"medium",L265&lt;5,"low")</f>
        <v>low</v>
      </c>
      <c r="T265" s="10" t="str">
        <f t="shared" si="23"/>
        <v>low</v>
      </c>
      <c r="U265" s="1">
        <f t="shared" si="24"/>
        <v>4505.2</v>
      </c>
    </row>
    <row r="266" spans="1:21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20"/>
        <v>2826.9500000000003</v>
      </c>
      <c r="Q266" s="1">
        <f t="shared" si="21"/>
        <v>11307.8</v>
      </c>
      <c r="R266" s="1" t="str">
        <f t="shared" si="22"/>
        <v>high</v>
      </c>
      <c r="S266" s="1" t="str" cm="1">
        <f t="array" ref="S266">_xlfn.IFS(L266&gt;5,"high",L266=5,"medium",L266&lt;5,"low")</f>
        <v>high</v>
      </c>
      <c r="T266" s="10" t="str">
        <f t="shared" si="23"/>
        <v>high</v>
      </c>
      <c r="U266" s="1">
        <f t="shared" si="24"/>
        <v>17668.440000000002</v>
      </c>
    </row>
    <row r="267" spans="1:21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20"/>
        <v>1472.4650000000001</v>
      </c>
      <c r="Q267" s="1">
        <f t="shared" si="21"/>
        <v>13252.184999999999</v>
      </c>
      <c r="R267" s="1" t="str">
        <f t="shared" si="22"/>
        <v>high</v>
      </c>
      <c r="S267" s="1" t="str" cm="1">
        <f t="array" ref="S267">_xlfn.IFS(L267&gt;5,"high",L267=5,"medium",L267&lt;5,"low")</f>
        <v>high</v>
      </c>
      <c r="T267" s="10" t="str">
        <f t="shared" si="23"/>
        <v>high</v>
      </c>
      <c r="U267" s="1">
        <f t="shared" si="24"/>
        <v>16360.72</v>
      </c>
    </row>
    <row r="268" spans="1:21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20"/>
        <v>42.787000000000006</v>
      </c>
      <c r="Q268" s="1">
        <f t="shared" si="21"/>
        <v>812.95299999999997</v>
      </c>
      <c r="R268" s="1" t="str">
        <f t="shared" si="22"/>
        <v>low</v>
      </c>
      <c r="S268" s="1" t="str" cm="1">
        <f t="array" ref="S268">_xlfn.IFS(L268&gt;5,"high",L268=5,"medium",L268&lt;5,"low")</f>
        <v>low</v>
      </c>
      <c r="T268" s="10" t="str">
        <f t="shared" si="23"/>
        <v>low</v>
      </c>
      <c r="U268" s="1">
        <f t="shared" si="24"/>
        <v>900.78</v>
      </c>
    </row>
    <row r="269" spans="1:21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20"/>
        <v>239.45000000000002</v>
      </c>
      <c r="Q269" s="1">
        <f t="shared" si="21"/>
        <v>2155.0500000000002</v>
      </c>
      <c r="R269" s="1" t="str">
        <f t="shared" si="22"/>
        <v>low</v>
      </c>
      <c r="S269" s="1" t="str" cm="1">
        <f t="array" ref="S269">_xlfn.IFS(L269&gt;5,"high",L269=5,"medium",L269&lt;5,"low")</f>
        <v>low</v>
      </c>
      <c r="T269" s="10" t="str">
        <f t="shared" si="23"/>
        <v>low</v>
      </c>
      <c r="U269" s="1">
        <f t="shared" si="24"/>
        <v>2660.56</v>
      </c>
    </row>
    <row r="270" spans="1:21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20"/>
        <v>2525.232</v>
      </c>
      <c r="Q270" s="1">
        <f t="shared" si="21"/>
        <v>10100.928</v>
      </c>
      <c r="R270" s="1" t="str">
        <f t="shared" si="22"/>
        <v>high</v>
      </c>
      <c r="S270" s="1" t="str" cm="1">
        <f t="array" ref="S270">_xlfn.IFS(L270&gt;5,"high",L270=5,"medium",L270&lt;5,"low")</f>
        <v>medium</v>
      </c>
      <c r="T270" s="10" t="str">
        <f t="shared" si="23"/>
        <v>medium</v>
      </c>
      <c r="U270" s="1">
        <f t="shared" si="24"/>
        <v>15782.7</v>
      </c>
    </row>
    <row r="271" spans="1:21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20"/>
        <v>1726.45</v>
      </c>
      <c r="Q271" s="1">
        <f t="shared" si="21"/>
        <v>15538.05</v>
      </c>
      <c r="R271" s="1" t="str">
        <f t="shared" si="22"/>
        <v>high</v>
      </c>
      <c r="S271" s="1" t="str" cm="1">
        <f t="array" ref="S271">_xlfn.IFS(L271&gt;5,"high",L271=5,"medium",L271&lt;5,"low")</f>
        <v>high</v>
      </c>
      <c r="T271" s="10" t="str">
        <f t="shared" si="23"/>
        <v>high</v>
      </c>
      <c r="U271" s="1">
        <f t="shared" si="24"/>
        <v>19182.78</v>
      </c>
    </row>
    <row r="272" spans="1:21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20"/>
        <v>0</v>
      </c>
      <c r="Q272" s="1">
        <f t="shared" si="21"/>
        <v>7408.53</v>
      </c>
      <c r="R272" s="1" t="str">
        <f t="shared" si="22"/>
        <v>low</v>
      </c>
      <c r="S272" s="1" t="str" cm="1">
        <f t="array" ref="S272">_xlfn.IFS(L272&gt;5,"high",L272=5,"medium",L272&lt;5,"low")</f>
        <v>low</v>
      </c>
      <c r="T272" s="10" t="str">
        <f t="shared" si="23"/>
        <v>low</v>
      </c>
      <c r="U272" s="1">
        <f t="shared" si="24"/>
        <v>7408.5300000000007</v>
      </c>
    </row>
    <row r="273" spans="1:21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20"/>
        <v>1717.046</v>
      </c>
      <c r="Q273" s="1">
        <f t="shared" si="21"/>
        <v>15453.413999999999</v>
      </c>
      <c r="R273" s="1" t="str">
        <f t="shared" si="22"/>
        <v>high</v>
      </c>
      <c r="S273" s="1" t="str" cm="1">
        <f t="array" ref="S273">_xlfn.IFS(L273&gt;5,"high",L273=5,"medium",L273&lt;5,"low")</f>
        <v>high</v>
      </c>
      <c r="T273" s="10" t="str">
        <f t="shared" si="23"/>
        <v>high</v>
      </c>
      <c r="U273" s="1">
        <f t="shared" si="24"/>
        <v>19078.29</v>
      </c>
    </row>
    <row r="274" spans="1:21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20"/>
        <v>109.69100000000002</v>
      </c>
      <c r="Q274" s="1">
        <f t="shared" si="21"/>
        <v>2084.1290000000004</v>
      </c>
      <c r="R274" s="1" t="str">
        <f t="shared" si="22"/>
        <v>high</v>
      </c>
      <c r="S274" s="1" t="str" cm="1">
        <f t="array" ref="S274">_xlfn.IFS(L274&gt;5,"high",L274=5,"medium",L274&lt;5,"low")</f>
        <v>high</v>
      </c>
      <c r="T274" s="10" t="str">
        <f t="shared" si="23"/>
        <v>high</v>
      </c>
      <c r="U274" s="1">
        <f t="shared" si="24"/>
        <v>2309.2799999999997</v>
      </c>
    </row>
    <row r="275" spans="1:21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20"/>
        <v>0</v>
      </c>
      <c r="Q275" s="1">
        <f t="shared" si="21"/>
        <v>5032.6000000000004</v>
      </c>
      <c r="R275" s="1" t="str">
        <f t="shared" si="22"/>
        <v>low</v>
      </c>
      <c r="S275" s="1" t="str" cm="1">
        <f t="array" ref="S275">_xlfn.IFS(L275&gt;5,"high",L275=5,"medium",L275&lt;5,"low")</f>
        <v>low</v>
      </c>
      <c r="T275" s="10" t="str">
        <f t="shared" si="23"/>
        <v>low</v>
      </c>
      <c r="U275" s="1">
        <f t="shared" si="24"/>
        <v>5032.6000000000004</v>
      </c>
    </row>
    <row r="276" spans="1:21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20"/>
        <v>454.37099999999998</v>
      </c>
      <c r="Q276" s="1">
        <f t="shared" si="21"/>
        <v>2574.7689999999998</v>
      </c>
      <c r="R276" s="1" t="str">
        <f t="shared" si="22"/>
        <v>high</v>
      </c>
      <c r="S276" s="1" t="str" cm="1">
        <f t="array" ref="S276">_xlfn.IFS(L276&gt;5,"high",L276=5,"medium",L276&lt;5,"low")</f>
        <v>high</v>
      </c>
      <c r="T276" s="10" t="str">
        <f t="shared" si="23"/>
        <v>high</v>
      </c>
      <c r="U276" s="1">
        <f t="shared" si="24"/>
        <v>3563.7000000000003</v>
      </c>
    </row>
    <row r="277" spans="1:21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20"/>
        <v>4941.7220000000007</v>
      </c>
      <c r="Q277" s="1">
        <f t="shared" si="21"/>
        <v>19766.887999999999</v>
      </c>
      <c r="R277" s="1" t="str">
        <f t="shared" si="22"/>
        <v>high</v>
      </c>
      <c r="S277" s="1" t="str" cm="1">
        <f t="array" ref="S277">_xlfn.IFS(L277&gt;5,"high",L277=5,"medium",L277&lt;5,"low")</f>
        <v>high</v>
      </c>
      <c r="T277" s="10" t="str">
        <f t="shared" si="23"/>
        <v>high</v>
      </c>
      <c r="U277" s="1">
        <f t="shared" si="24"/>
        <v>30885.759999999998</v>
      </c>
    </row>
    <row r="278" spans="1:21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20"/>
        <v>964.88600000000008</v>
      </c>
      <c r="Q278" s="1">
        <f t="shared" si="21"/>
        <v>3859.5440000000003</v>
      </c>
      <c r="R278" s="1" t="str">
        <f t="shared" si="22"/>
        <v>high</v>
      </c>
      <c r="S278" s="1" t="str" cm="1">
        <f t="array" ref="S278">_xlfn.IFS(L278&gt;5,"high",L278=5,"medium",L278&lt;5,"low")</f>
        <v>high</v>
      </c>
      <c r="T278" s="10" t="str">
        <f t="shared" si="23"/>
        <v>high</v>
      </c>
      <c r="U278" s="1">
        <f t="shared" si="24"/>
        <v>6030.5399999999991</v>
      </c>
    </row>
    <row r="279" spans="1:21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20"/>
        <v>396.54400000000004</v>
      </c>
      <c r="Q279" s="1">
        <f t="shared" si="21"/>
        <v>3568.8960000000002</v>
      </c>
      <c r="R279" s="1" t="str">
        <f t="shared" si="22"/>
        <v>high</v>
      </c>
      <c r="S279" s="1" t="str" cm="1">
        <f t="array" ref="S279">_xlfn.IFS(L279&gt;5,"high",L279=5,"medium",L279&lt;5,"low")</f>
        <v>high</v>
      </c>
      <c r="T279" s="10" t="str">
        <f t="shared" si="23"/>
        <v>high</v>
      </c>
      <c r="U279" s="1">
        <f t="shared" si="24"/>
        <v>4406.04</v>
      </c>
    </row>
    <row r="280" spans="1:21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20"/>
        <v>0</v>
      </c>
      <c r="Q280" s="1">
        <f t="shared" si="21"/>
        <v>21449.22</v>
      </c>
      <c r="R280" s="1" t="str">
        <f t="shared" si="22"/>
        <v>high</v>
      </c>
      <c r="S280" s="1" t="str" cm="1">
        <f t="array" ref="S280">_xlfn.IFS(L280&gt;5,"high",L280=5,"medium",L280&lt;5,"low")</f>
        <v>high</v>
      </c>
      <c r="T280" s="10" t="str">
        <f t="shared" si="23"/>
        <v>high</v>
      </c>
      <c r="U280" s="1">
        <f t="shared" si="24"/>
        <v>21449.22</v>
      </c>
    </row>
    <row r="281" spans="1:21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20"/>
        <v>3859.8029999999999</v>
      </c>
      <c r="Q281" s="1">
        <f t="shared" si="21"/>
        <v>21872.217000000001</v>
      </c>
      <c r="R281" s="1" t="str">
        <f t="shared" si="22"/>
        <v>high</v>
      </c>
      <c r="S281" s="1" t="str" cm="1">
        <f t="array" ref="S281">_xlfn.IFS(L281&gt;5,"high",L281=5,"medium",L281&lt;5,"low")</f>
        <v>high</v>
      </c>
      <c r="T281" s="10" t="str">
        <f t="shared" si="23"/>
        <v>high</v>
      </c>
      <c r="U281" s="1">
        <f t="shared" si="24"/>
        <v>30272.959999999999</v>
      </c>
    </row>
    <row r="282" spans="1:21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20"/>
        <v>0</v>
      </c>
      <c r="Q282" s="1">
        <f t="shared" si="21"/>
        <v>15492.2</v>
      </c>
      <c r="R282" s="1" t="str">
        <f t="shared" si="22"/>
        <v>high</v>
      </c>
      <c r="S282" s="1" t="str" cm="1">
        <f t="array" ref="S282">_xlfn.IFS(L282&gt;5,"high",L282=5,"medium",L282&lt;5,"low")</f>
        <v>medium</v>
      </c>
      <c r="T282" s="10" t="str">
        <f t="shared" si="23"/>
        <v>medium</v>
      </c>
      <c r="U282" s="1">
        <f t="shared" si="24"/>
        <v>15492.2</v>
      </c>
    </row>
    <row r="283" spans="1:21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20"/>
        <v>81.988</v>
      </c>
      <c r="Q283" s="1">
        <f t="shared" si="21"/>
        <v>327.952</v>
      </c>
      <c r="R283" s="1" t="str">
        <f t="shared" si="22"/>
        <v>low</v>
      </c>
      <c r="S283" s="1" t="str" cm="1">
        <f t="array" ref="S283">_xlfn.IFS(L283&gt;5,"high",L283=5,"medium",L283&lt;5,"low")</f>
        <v>low</v>
      </c>
      <c r="T283" s="10" t="str">
        <f t="shared" si="23"/>
        <v>low</v>
      </c>
      <c r="U283" s="1">
        <f t="shared" si="24"/>
        <v>512.43000000000006</v>
      </c>
    </row>
    <row r="284" spans="1:21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20"/>
        <v>0</v>
      </c>
      <c r="Q284" s="1">
        <f t="shared" si="21"/>
        <v>465.54</v>
      </c>
      <c r="R284" s="1" t="str">
        <f t="shared" si="22"/>
        <v>low</v>
      </c>
      <c r="S284" s="1" t="str" cm="1">
        <f t="array" ref="S284">_xlfn.IFS(L284&gt;5,"high",L284=5,"medium",L284&lt;5,"low")</f>
        <v>low</v>
      </c>
      <c r="T284" s="10" t="str">
        <f t="shared" si="23"/>
        <v>low</v>
      </c>
      <c r="U284" s="1">
        <f t="shared" si="24"/>
        <v>465.54</v>
      </c>
    </row>
    <row r="285" spans="1:21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20"/>
        <v>1228.3530000000001</v>
      </c>
      <c r="Q285" s="1">
        <f t="shared" si="21"/>
        <v>6960.6670000000004</v>
      </c>
      <c r="R285" s="1" t="str">
        <f t="shared" si="22"/>
        <v>high</v>
      </c>
      <c r="S285" s="1" t="str" cm="1">
        <f t="array" ref="S285">_xlfn.IFS(L285&gt;5,"high",L285=5,"medium",L285&lt;5,"low")</f>
        <v>high</v>
      </c>
      <c r="T285" s="10" t="str">
        <f t="shared" si="23"/>
        <v>high</v>
      </c>
      <c r="U285" s="1">
        <f t="shared" si="24"/>
        <v>9634.14</v>
      </c>
    </row>
    <row r="286" spans="1:21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20"/>
        <v>126.373</v>
      </c>
      <c r="Q286" s="1">
        <f t="shared" si="21"/>
        <v>1137.357</v>
      </c>
      <c r="R286" s="1" t="str">
        <f t="shared" si="22"/>
        <v>low</v>
      </c>
      <c r="S286" s="1" t="str" cm="1">
        <f t="array" ref="S286">_xlfn.IFS(L286&gt;5,"high",L286=5,"medium",L286&lt;5,"low")</f>
        <v>low</v>
      </c>
      <c r="T286" s="10" t="str">
        <f t="shared" si="23"/>
        <v>low</v>
      </c>
      <c r="U286" s="1">
        <f t="shared" si="24"/>
        <v>1404.14</v>
      </c>
    </row>
    <row r="287" spans="1:21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20"/>
        <v>62.925000000000004</v>
      </c>
      <c r="Q287" s="1">
        <f t="shared" si="21"/>
        <v>1195.575</v>
      </c>
      <c r="R287" s="1" t="str">
        <f t="shared" si="22"/>
        <v>high</v>
      </c>
      <c r="S287" s="1" t="str" cm="1">
        <f t="array" ref="S287">_xlfn.IFS(L287&gt;5,"high",L287=5,"medium",L287&lt;5,"low")</f>
        <v>high</v>
      </c>
      <c r="T287" s="10" t="str">
        <f t="shared" si="23"/>
        <v>high</v>
      </c>
      <c r="U287" s="1">
        <f t="shared" si="24"/>
        <v>1324.74</v>
      </c>
    </row>
    <row r="288" spans="1:21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20"/>
        <v>0</v>
      </c>
      <c r="Q288" s="1">
        <f t="shared" si="21"/>
        <v>11619.96</v>
      </c>
      <c r="R288" s="1" t="str">
        <f t="shared" si="22"/>
        <v>high</v>
      </c>
      <c r="S288" s="1" t="str" cm="1">
        <f t="array" ref="S288">_xlfn.IFS(L288&gt;5,"high",L288=5,"medium",L288&lt;5,"low")</f>
        <v>high</v>
      </c>
      <c r="T288" s="10" t="str">
        <f t="shared" si="23"/>
        <v>high</v>
      </c>
      <c r="U288" s="1">
        <f t="shared" si="24"/>
        <v>11619.960000000001</v>
      </c>
    </row>
    <row r="289" spans="1:21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20"/>
        <v>1436.7</v>
      </c>
      <c r="Q289" s="1">
        <f t="shared" si="21"/>
        <v>27297.3</v>
      </c>
      <c r="R289" s="1" t="str">
        <f t="shared" si="22"/>
        <v>high</v>
      </c>
      <c r="S289" s="1" t="str" cm="1">
        <f t="array" ref="S289">_xlfn.IFS(L289&gt;5,"high",L289=5,"medium",L289&lt;5,"low")</f>
        <v>high</v>
      </c>
      <c r="T289" s="10" t="str">
        <f t="shared" si="23"/>
        <v>high</v>
      </c>
      <c r="U289" s="1">
        <f t="shared" si="24"/>
        <v>30246.32</v>
      </c>
    </row>
    <row r="290" spans="1:21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20"/>
        <v>1564.316</v>
      </c>
      <c r="Q290" s="1">
        <f t="shared" si="21"/>
        <v>6257.2640000000001</v>
      </c>
      <c r="R290" s="1" t="str">
        <f t="shared" si="22"/>
        <v>high</v>
      </c>
      <c r="S290" s="1" t="str" cm="1">
        <f t="array" ref="S290">_xlfn.IFS(L290&gt;5,"high",L290=5,"medium",L290&lt;5,"low")</f>
        <v>high</v>
      </c>
      <c r="T290" s="10" t="str">
        <f t="shared" si="23"/>
        <v>high</v>
      </c>
      <c r="U290" s="1">
        <f t="shared" si="24"/>
        <v>9776.9700000000012</v>
      </c>
    </row>
    <row r="291" spans="1:21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20"/>
        <v>1940.6810000000003</v>
      </c>
      <c r="Q291" s="1">
        <f t="shared" si="21"/>
        <v>17466.129000000001</v>
      </c>
      <c r="R291" s="1" t="str">
        <f t="shared" si="22"/>
        <v>high</v>
      </c>
      <c r="S291" s="1" t="str" cm="1">
        <f t="array" ref="S291">_xlfn.IFS(L291&gt;5,"high",L291=5,"medium",L291&lt;5,"low")</f>
        <v>high</v>
      </c>
      <c r="T291" s="10" t="str">
        <f t="shared" si="23"/>
        <v>high</v>
      </c>
      <c r="U291" s="1">
        <f t="shared" si="24"/>
        <v>21563.119999999999</v>
      </c>
    </row>
    <row r="292" spans="1:21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20"/>
        <v>2155.4990000000003</v>
      </c>
      <c r="Q292" s="1">
        <f t="shared" si="21"/>
        <v>19399.491000000002</v>
      </c>
      <c r="R292" s="1" t="str">
        <f t="shared" si="22"/>
        <v>high</v>
      </c>
      <c r="S292" s="1" t="str" cm="1">
        <f t="array" ref="S292">_xlfn.IFS(L292&gt;5,"high",L292=5,"medium",L292&lt;5,"low")</f>
        <v>high</v>
      </c>
      <c r="T292" s="10" t="str">
        <f t="shared" si="23"/>
        <v>high</v>
      </c>
      <c r="U292" s="1">
        <f t="shared" si="24"/>
        <v>23949.99</v>
      </c>
    </row>
    <row r="293" spans="1:21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20"/>
        <v>0</v>
      </c>
      <c r="Q293" s="1">
        <f t="shared" si="21"/>
        <v>6699.96</v>
      </c>
      <c r="R293" s="1" t="str">
        <f t="shared" si="22"/>
        <v>high</v>
      </c>
      <c r="S293" s="1" t="str" cm="1">
        <f t="array" ref="S293">_xlfn.IFS(L293&gt;5,"high",L293=5,"medium",L293&lt;5,"low")</f>
        <v>high</v>
      </c>
      <c r="T293" s="10" t="str">
        <f t="shared" si="23"/>
        <v>high</v>
      </c>
      <c r="U293" s="1">
        <f t="shared" si="24"/>
        <v>6699.9600000000009</v>
      </c>
    </row>
    <row r="294" spans="1:21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20"/>
        <v>716.61800000000005</v>
      </c>
      <c r="Q294" s="1">
        <f t="shared" si="21"/>
        <v>6449.5619999999999</v>
      </c>
      <c r="R294" s="1" t="str">
        <f t="shared" si="22"/>
        <v>low</v>
      </c>
      <c r="S294" s="1" t="str" cm="1">
        <f t="array" ref="S294">_xlfn.IFS(L294&gt;5,"high",L294=5,"medium",L294&lt;5,"low")</f>
        <v>low</v>
      </c>
      <c r="T294" s="10" t="str">
        <f t="shared" si="23"/>
        <v>low</v>
      </c>
      <c r="U294" s="1">
        <f t="shared" si="24"/>
        <v>7962.42</v>
      </c>
    </row>
    <row r="295" spans="1:21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20"/>
        <v>0</v>
      </c>
      <c r="Q295" s="1">
        <f t="shared" si="21"/>
        <v>2902.47</v>
      </c>
      <c r="R295" s="1" t="str">
        <f t="shared" si="22"/>
        <v>low</v>
      </c>
      <c r="S295" s="1" t="str" cm="1">
        <f t="array" ref="S295">_xlfn.IFS(L295&gt;5,"high",L295=5,"medium",L295&lt;5,"low")</f>
        <v>low</v>
      </c>
      <c r="T295" s="10" t="str">
        <f t="shared" si="23"/>
        <v>low</v>
      </c>
      <c r="U295" s="1">
        <f t="shared" si="24"/>
        <v>2902.4700000000003</v>
      </c>
    </row>
    <row r="296" spans="1:21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20"/>
        <v>0</v>
      </c>
      <c r="Q296" s="1">
        <f t="shared" si="21"/>
        <v>619.73</v>
      </c>
      <c r="R296" s="1" t="str">
        <f t="shared" si="22"/>
        <v>low</v>
      </c>
      <c r="S296" s="1" t="str" cm="1">
        <f t="array" ref="S296">_xlfn.IFS(L296&gt;5,"high",L296=5,"medium",L296&lt;5,"low")</f>
        <v>low</v>
      </c>
      <c r="T296" s="10" t="str">
        <f t="shared" si="23"/>
        <v>low</v>
      </c>
      <c r="U296" s="1">
        <f t="shared" si="24"/>
        <v>619.73</v>
      </c>
    </row>
    <row r="297" spans="1:21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20"/>
        <v>676.95350000000008</v>
      </c>
      <c r="Q297" s="1">
        <f t="shared" si="21"/>
        <v>12862.1165</v>
      </c>
      <c r="R297" s="1" t="str">
        <f t="shared" si="22"/>
        <v>high</v>
      </c>
      <c r="S297" s="1" t="str" cm="1">
        <f t="array" ref="S297">_xlfn.IFS(L297&gt;5,"high",L297=5,"medium",L297&lt;5,"low")</f>
        <v>medium</v>
      </c>
      <c r="T297" s="10" t="str">
        <f t="shared" si="23"/>
        <v>medium</v>
      </c>
      <c r="U297" s="1">
        <f t="shared" si="24"/>
        <v>14251.65</v>
      </c>
    </row>
    <row r="298" spans="1:21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20"/>
        <v>211.23000000000002</v>
      </c>
      <c r="Q298" s="1">
        <f t="shared" si="21"/>
        <v>1901.0700000000002</v>
      </c>
      <c r="R298" s="1" t="str">
        <f t="shared" si="22"/>
        <v>low</v>
      </c>
      <c r="S298" s="1" t="str" cm="1">
        <f t="array" ref="S298">_xlfn.IFS(L298&gt;5,"high",L298=5,"medium",L298&lt;5,"low")</f>
        <v>low</v>
      </c>
      <c r="T298" s="10" t="str">
        <f t="shared" si="23"/>
        <v>low</v>
      </c>
      <c r="U298" s="1">
        <f t="shared" si="24"/>
        <v>2347</v>
      </c>
    </row>
    <row r="299" spans="1:21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20"/>
        <v>0</v>
      </c>
      <c r="Q299" s="1">
        <f t="shared" si="21"/>
        <v>35892.9</v>
      </c>
      <c r="R299" s="1" t="str">
        <f t="shared" si="22"/>
        <v>high</v>
      </c>
      <c r="S299" s="1" t="str" cm="1">
        <f t="array" ref="S299">_xlfn.IFS(L299&gt;5,"high",L299=5,"medium",L299&lt;5,"low")</f>
        <v>high</v>
      </c>
      <c r="T299" s="10" t="str">
        <f t="shared" si="23"/>
        <v>high</v>
      </c>
      <c r="U299" s="1">
        <f t="shared" si="24"/>
        <v>35892.9</v>
      </c>
    </row>
    <row r="300" spans="1:21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20"/>
        <v>366.06400000000002</v>
      </c>
      <c r="Q300" s="1">
        <f t="shared" si="21"/>
        <v>6955.2159999999994</v>
      </c>
      <c r="R300" s="1" t="str">
        <f t="shared" si="22"/>
        <v>high</v>
      </c>
      <c r="S300" s="1" t="str" cm="1">
        <f t="array" ref="S300">_xlfn.IFS(L300&gt;5,"high",L300=5,"medium",L300&lt;5,"low")</f>
        <v>high</v>
      </c>
      <c r="T300" s="10" t="str">
        <f t="shared" si="23"/>
        <v>high</v>
      </c>
      <c r="U300" s="1">
        <f t="shared" si="24"/>
        <v>7706.61</v>
      </c>
    </row>
    <row r="301" spans="1:21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20"/>
        <v>1553.874</v>
      </c>
      <c r="Q301" s="1">
        <f t="shared" si="21"/>
        <v>8805.2860000000001</v>
      </c>
      <c r="R301" s="1" t="str">
        <f t="shared" si="22"/>
        <v>high</v>
      </c>
      <c r="S301" s="1" t="str" cm="1">
        <f t="array" ref="S301">_xlfn.IFS(L301&gt;5,"high",L301=5,"medium",L301&lt;5,"low")</f>
        <v>medium</v>
      </c>
      <c r="T301" s="10" t="str">
        <f t="shared" si="23"/>
        <v>medium</v>
      </c>
      <c r="U301" s="1">
        <f t="shared" si="24"/>
        <v>12187.25</v>
      </c>
    </row>
    <row r="302" spans="1:21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20"/>
        <v>329.42</v>
      </c>
      <c r="Q302" s="1">
        <f t="shared" si="21"/>
        <v>6258.98</v>
      </c>
      <c r="R302" s="1" t="str">
        <f t="shared" si="22"/>
        <v>low</v>
      </c>
      <c r="S302" s="1" t="str" cm="1">
        <f t="array" ref="S302">_xlfn.IFS(L302&gt;5,"high",L302=5,"medium",L302&lt;5,"low")</f>
        <v>low</v>
      </c>
      <c r="T302" s="10" t="str">
        <f t="shared" si="23"/>
        <v>low</v>
      </c>
      <c r="U302" s="1">
        <f t="shared" si="24"/>
        <v>6935.16</v>
      </c>
    </row>
    <row r="303" spans="1:21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20"/>
        <v>211.666</v>
      </c>
      <c r="Q303" s="1">
        <f t="shared" si="21"/>
        <v>4021.6539999999995</v>
      </c>
      <c r="R303" s="1" t="str">
        <f t="shared" si="22"/>
        <v>high</v>
      </c>
      <c r="S303" s="1" t="str" cm="1">
        <f t="array" ref="S303">_xlfn.IFS(L303&gt;5,"high",L303=5,"medium",L303&lt;5,"low")</f>
        <v>high</v>
      </c>
      <c r="T303" s="10" t="str">
        <f t="shared" si="23"/>
        <v>high</v>
      </c>
      <c r="U303" s="1">
        <f t="shared" si="24"/>
        <v>4456.13</v>
      </c>
    </row>
    <row r="304" spans="1:21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20"/>
        <v>0</v>
      </c>
      <c r="Q304" s="1">
        <f t="shared" si="21"/>
        <v>1543.2</v>
      </c>
      <c r="R304" s="1" t="str">
        <f t="shared" si="22"/>
        <v>high</v>
      </c>
      <c r="S304" s="1" t="str" cm="1">
        <f t="array" ref="S304">_xlfn.IFS(L304&gt;5,"high",L304=5,"medium",L304&lt;5,"low")</f>
        <v>high</v>
      </c>
      <c r="T304" s="10" t="str">
        <f t="shared" si="23"/>
        <v>high</v>
      </c>
      <c r="U304" s="1">
        <f t="shared" si="24"/>
        <v>1543.1999999999998</v>
      </c>
    </row>
    <row r="305" spans="1:21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20"/>
        <v>1630.4120000000003</v>
      </c>
      <c r="Q305" s="1">
        <f t="shared" si="21"/>
        <v>6521.6480000000001</v>
      </c>
      <c r="R305" s="1" t="str">
        <f t="shared" si="22"/>
        <v>low</v>
      </c>
      <c r="S305" s="1" t="str" cm="1">
        <f t="array" ref="S305">_xlfn.IFS(L305&gt;5,"high",L305=5,"medium",L305&lt;5,"low")</f>
        <v>low</v>
      </c>
      <c r="T305" s="10" t="str">
        <f t="shared" si="23"/>
        <v>low</v>
      </c>
      <c r="U305" s="1">
        <f t="shared" si="24"/>
        <v>10190.08</v>
      </c>
    </row>
    <row r="306" spans="1:21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20"/>
        <v>1041.9260000000002</v>
      </c>
      <c r="Q306" s="1">
        <f t="shared" si="21"/>
        <v>4167.7039999999997</v>
      </c>
      <c r="R306" s="1" t="str">
        <f t="shared" si="22"/>
        <v>low</v>
      </c>
      <c r="S306" s="1" t="str" cm="1">
        <f t="array" ref="S306">_xlfn.IFS(L306&gt;5,"high",L306=5,"medium",L306&lt;5,"low")</f>
        <v>low</v>
      </c>
      <c r="T306" s="10" t="str">
        <f t="shared" si="23"/>
        <v>low</v>
      </c>
      <c r="U306" s="1">
        <f t="shared" si="24"/>
        <v>6512.04</v>
      </c>
    </row>
    <row r="307" spans="1:21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20"/>
        <v>542.68200000000002</v>
      </c>
      <c r="Q307" s="1">
        <f t="shared" si="21"/>
        <v>2170.7280000000001</v>
      </c>
      <c r="R307" s="1" t="str">
        <f t="shared" si="22"/>
        <v>low</v>
      </c>
      <c r="S307" s="1" t="str" cm="1">
        <f t="array" ref="S307">_xlfn.IFS(L307&gt;5,"high",L307=5,"medium",L307&lt;5,"low")</f>
        <v>low</v>
      </c>
      <c r="T307" s="10" t="str">
        <f t="shared" si="23"/>
        <v>low</v>
      </c>
      <c r="U307" s="1">
        <f t="shared" si="24"/>
        <v>3391.76</v>
      </c>
    </row>
    <row r="308" spans="1:21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20"/>
        <v>381.60550000000001</v>
      </c>
      <c r="Q308" s="1">
        <f t="shared" si="21"/>
        <v>7250.5045</v>
      </c>
      <c r="R308" s="1" t="str">
        <f t="shared" si="22"/>
        <v>low</v>
      </c>
      <c r="S308" s="1" t="str" cm="1">
        <f t="array" ref="S308">_xlfn.IFS(L308&gt;5,"high",L308=5,"medium",L308&lt;5,"low")</f>
        <v>low</v>
      </c>
      <c r="T308" s="10" t="str">
        <f t="shared" si="23"/>
        <v>low</v>
      </c>
      <c r="U308" s="1">
        <f t="shared" si="24"/>
        <v>8033.8</v>
      </c>
    </row>
    <row r="309" spans="1:21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20"/>
        <v>0</v>
      </c>
      <c r="Q309" s="1">
        <f t="shared" si="21"/>
        <v>12572.8</v>
      </c>
      <c r="R309" s="1" t="str">
        <f t="shared" si="22"/>
        <v>low</v>
      </c>
      <c r="S309" s="1" t="str" cm="1">
        <f t="array" ref="S309">_xlfn.IFS(L309&gt;5,"high",L309=5,"medium",L309&lt;5,"low")</f>
        <v>low</v>
      </c>
      <c r="T309" s="10" t="str">
        <f t="shared" si="23"/>
        <v>low</v>
      </c>
      <c r="U309" s="1">
        <f t="shared" si="24"/>
        <v>12572.8</v>
      </c>
    </row>
    <row r="310" spans="1:21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20"/>
        <v>246.64099999999999</v>
      </c>
      <c r="Q310" s="1">
        <f t="shared" si="21"/>
        <v>2219.7689999999998</v>
      </c>
      <c r="R310" s="1" t="str">
        <f t="shared" si="22"/>
        <v>low</v>
      </c>
      <c r="S310" s="1" t="str" cm="1">
        <f t="array" ref="S310">_xlfn.IFS(L310&gt;5,"high",L310=5,"medium",L310&lt;5,"low")</f>
        <v>low</v>
      </c>
      <c r="T310" s="10" t="str">
        <f t="shared" si="23"/>
        <v>low</v>
      </c>
      <c r="U310" s="1">
        <f t="shared" si="24"/>
        <v>2740.46</v>
      </c>
    </row>
    <row r="311" spans="1:21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20"/>
        <v>837.43850000000009</v>
      </c>
      <c r="Q311" s="1">
        <f t="shared" si="21"/>
        <v>15911.3315</v>
      </c>
      <c r="R311" s="1" t="str">
        <f t="shared" si="22"/>
        <v>high</v>
      </c>
      <c r="S311" s="1" t="str" cm="1">
        <f t="array" ref="S311">_xlfn.IFS(L311&gt;5,"high",L311=5,"medium",L311&lt;5,"low")</f>
        <v>high</v>
      </c>
      <c r="T311" s="10" t="str">
        <f t="shared" si="23"/>
        <v>high</v>
      </c>
      <c r="U311" s="1">
        <f t="shared" si="24"/>
        <v>17630.28</v>
      </c>
    </row>
    <row r="312" spans="1:21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20"/>
        <v>388.83699999999999</v>
      </c>
      <c r="Q312" s="1">
        <f t="shared" si="21"/>
        <v>7387.9030000000002</v>
      </c>
      <c r="R312" s="1" t="str">
        <f t="shared" si="22"/>
        <v>low</v>
      </c>
      <c r="S312" s="1" t="str" cm="1">
        <f t="array" ref="S312">_xlfn.IFS(L312&gt;5,"high",L312=5,"medium",L312&lt;5,"low")</f>
        <v>low</v>
      </c>
      <c r="T312" s="10" t="str">
        <f t="shared" si="23"/>
        <v>low</v>
      </c>
      <c r="U312" s="1">
        <f t="shared" si="24"/>
        <v>8186.04</v>
      </c>
    </row>
    <row r="313" spans="1:21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20"/>
        <v>0</v>
      </c>
      <c r="Q313" s="1">
        <f t="shared" si="21"/>
        <v>2588.64</v>
      </c>
      <c r="R313" s="1" t="str">
        <f t="shared" si="22"/>
        <v>low</v>
      </c>
      <c r="S313" s="1" t="str" cm="1">
        <f t="array" ref="S313">_xlfn.IFS(L313&gt;5,"high",L313=5,"medium",L313&lt;5,"low")</f>
        <v>low</v>
      </c>
      <c r="T313" s="10" t="str">
        <f t="shared" si="23"/>
        <v>low</v>
      </c>
      <c r="U313" s="1">
        <f t="shared" si="24"/>
        <v>2588.64</v>
      </c>
    </row>
    <row r="314" spans="1:21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20"/>
        <v>414.53699999999998</v>
      </c>
      <c r="Q314" s="1">
        <f t="shared" si="21"/>
        <v>2349.0430000000001</v>
      </c>
      <c r="R314" s="1" t="str">
        <f t="shared" si="22"/>
        <v>low</v>
      </c>
      <c r="S314" s="1" t="str" cm="1">
        <f t="array" ref="S314">_xlfn.IFS(L314&gt;5,"high",L314=5,"medium",L314&lt;5,"low")</f>
        <v>low</v>
      </c>
      <c r="T314" s="10" t="str">
        <f t="shared" si="23"/>
        <v>low</v>
      </c>
      <c r="U314" s="1">
        <f t="shared" si="24"/>
        <v>3251.27</v>
      </c>
    </row>
    <row r="315" spans="1:21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20"/>
        <v>79.888000000000005</v>
      </c>
      <c r="Q315" s="1">
        <f t="shared" si="21"/>
        <v>1517.8720000000001</v>
      </c>
      <c r="R315" s="1" t="str">
        <f t="shared" si="22"/>
        <v>low</v>
      </c>
      <c r="S315" s="1" t="str" cm="1">
        <f t="array" ref="S315">_xlfn.IFS(L315&gt;5,"high",L315=5,"medium",L315&lt;5,"low")</f>
        <v>low</v>
      </c>
      <c r="T315" s="10" t="str">
        <f t="shared" si="23"/>
        <v>low</v>
      </c>
      <c r="U315" s="1">
        <f t="shared" si="24"/>
        <v>1681.85</v>
      </c>
    </row>
    <row r="316" spans="1:21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20"/>
        <v>3318.0810000000001</v>
      </c>
      <c r="Q316" s="1">
        <f t="shared" si="21"/>
        <v>18802.459000000003</v>
      </c>
      <c r="R316" s="1" t="str">
        <f t="shared" si="22"/>
        <v>high</v>
      </c>
      <c r="S316" s="1" t="str" cm="1">
        <f t="array" ref="S316">_xlfn.IFS(L316&gt;5,"high",L316=5,"medium",L316&lt;5,"low")</f>
        <v>high</v>
      </c>
      <c r="T316" s="10" t="str">
        <f t="shared" si="23"/>
        <v>high</v>
      </c>
      <c r="U316" s="1">
        <f t="shared" si="24"/>
        <v>26024.16</v>
      </c>
    </row>
    <row r="317" spans="1:21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20"/>
        <v>2477.8454999999999</v>
      </c>
      <c r="Q317" s="1">
        <f t="shared" si="21"/>
        <v>14041.124500000002</v>
      </c>
      <c r="R317" s="1" t="str">
        <f t="shared" si="22"/>
        <v>high</v>
      </c>
      <c r="S317" s="1" t="str" cm="1">
        <f t="array" ref="S317">_xlfn.IFS(L317&gt;5,"high",L317=5,"medium",L317&lt;5,"low")</f>
        <v>high</v>
      </c>
      <c r="T317" s="10" t="str">
        <f t="shared" si="23"/>
        <v>high</v>
      </c>
      <c r="U317" s="1">
        <f t="shared" si="24"/>
        <v>19434.080000000002</v>
      </c>
    </row>
    <row r="318" spans="1:21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20"/>
        <v>252.39000000000001</v>
      </c>
      <c r="Q318" s="1">
        <f t="shared" si="21"/>
        <v>1009.5600000000001</v>
      </c>
      <c r="R318" s="1" t="str">
        <f t="shared" si="22"/>
        <v>low</v>
      </c>
      <c r="S318" s="1" t="str" cm="1">
        <f t="array" ref="S318">_xlfn.IFS(L318&gt;5,"high",L318=5,"medium",L318&lt;5,"low")</f>
        <v>low</v>
      </c>
      <c r="T318" s="10" t="str">
        <f t="shared" si="23"/>
        <v>low</v>
      </c>
      <c r="U318" s="1">
        <f t="shared" si="24"/>
        <v>1577.44</v>
      </c>
    </row>
    <row r="319" spans="1:21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20"/>
        <v>0</v>
      </c>
      <c r="Q319" s="1">
        <f t="shared" si="21"/>
        <v>1715.21</v>
      </c>
      <c r="R319" s="1" t="str">
        <f t="shared" si="22"/>
        <v>high</v>
      </c>
      <c r="S319" s="1" t="str" cm="1">
        <f t="array" ref="S319">_xlfn.IFS(L319&gt;5,"high",L319=5,"medium",L319&lt;5,"low")</f>
        <v>high</v>
      </c>
      <c r="T319" s="10" t="str">
        <f t="shared" si="23"/>
        <v>high</v>
      </c>
      <c r="U319" s="1">
        <f t="shared" si="24"/>
        <v>1715.21</v>
      </c>
    </row>
    <row r="320" spans="1:21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20"/>
        <v>1577.5319999999999</v>
      </c>
      <c r="Q320" s="1">
        <f t="shared" si="21"/>
        <v>8939.348</v>
      </c>
      <c r="R320" s="1" t="str">
        <f t="shared" si="22"/>
        <v>high</v>
      </c>
      <c r="S320" s="1" t="str" cm="1">
        <f t="array" ref="S320">_xlfn.IFS(L320&gt;5,"high",L320=5,"medium",L320&lt;5,"low")</f>
        <v>high</v>
      </c>
      <c r="T320" s="10" t="str">
        <f t="shared" si="23"/>
        <v>high</v>
      </c>
      <c r="U320" s="1">
        <f t="shared" si="24"/>
        <v>12372.8</v>
      </c>
    </row>
    <row r="321" spans="1:21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20"/>
        <v>0</v>
      </c>
      <c r="Q321" s="1">
        <f t="shared" si="21"/>
        <v>18038.240000000002</v>
      </c>
      <c r="R321" s="1" t="str">
        <f t="shared" si="22"/>
        <v>high</v>
      </c>
      <c r="S321" s="1" t="str" cm="1">
        <f t="array" ref="S321">_xlfn.IFS(L321&gt;5,"high",L321=5,"medium",L321&lt;5,"low")</f>
        <v>high</v>
      </c>
      <c r="T321" s="10" t="str">
        <f t="shared" si="23"/>
        <v>high</v>
      </c>
      <c r="U321" s="1">
        <f t="shared" si="24"/>
        <v>18038.240000000002</v>
      </c>
    </row>
    <row r="322" spans="1:21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20"/>
        <v>3789.3080000000004</v>
      </c>
      <c r="Q322" s="1">
        <f t="shared" si="21"/>
        <v>15157.232</v>
      </c>
      <c r="R322" s="1" t="str">
        <f t="shared" si="22"/>
        <v>high</v>
      </c>
      <c r="S322" s="1" t="str" cm="1">
        <f t="array" ref="S322">_xlfn.IFS(L322&gt;5,"high",L322=5,"medium",L322&lt;5,"low")</f>
        <v>high</v>
      </c>
      <c r="T322" s="10" t="str">
        <f t="shared" si="23"/>
        <v>high</v>
      </c>
      <c r="U322" s="1">
        <f t="shared" si="24"/>
        <v>23683.17</v>
      </c>
    </row>
    <row r="323" spans="1:21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25">O323*N323%</f>
        <v>0</v>
      </c>
      <c r="Q323" s="1">
        <f t="shared" ref="Q323:Q386" si="26">O323-P323</f>
        <v>3204.1</v>
      </c>
      <c r="R323" s="1" t="str">
        <f t="shared" ref="R323:R386" si="27">IF(L323&gt;=5,"high","low")</f>
        <v>high</v>
      </c>
      <c r="S323" s="1" t="str" cm="1">
        <f t="array" ref="S323">_xlfn.IFS(L323&gt;5,"high",L323=5,"medium",L323&lt;5,"low")</f>
        <v>medium</v>
      </c>
      <c r="T323" s="10" t="str">
        <f t="shared" ref="T323:T386" si="28">IF(L323&gt;5,"high",IF(L323=5,"medium","low"))</f>
        <v>medium</v>
      </c>
      <c r="U323" s="1">
        <f t="shared" ref="U323:U386" si="29">L323*M323</f>
        <v>3204.1000000000004</v>
      </c>
    </row>
    <row r="324" spans="1:21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25"/>
        <v>153.46250000000001</v>
      </c>
      <c r="Q324" s="1">
        <f t="shared" si="26"/>
        <v>2915.7874999999999</v>
      </c>
      <c r="R324" s="1" t="str">
        <f t="shared" si="27"/>
        <v>low</v>
      </c>
      <c r="S324" s="1" t="str" cm="1">
        <f t="array" ref="S324">_xlfn.IFS(L324&gt;5,"high",L324=5,"medium",L324&lt;5,"low")</f>
        <v>low</v>
      </c>
      <c r="T324" s="10" t="str">
        <f t="shared" si="28"/>
        <v>low</v>
      </c>
      <c r="U324" s="1">
        <f t="shared" si="29"/>
        <v>3230.79</v>
      </c>
    </row>
    <row r="325" spans="1:21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25"/>
        <v>3984.7860000000001</v>
      </c>
      <c r="Q325" s="1">
        <f t="shared" si="26"/>
        <v>22580.454000000002</v>
      </c>
      <c r="R325" s="1" t="str">
        <f t="shared" si="27"/>
        <v>high</v>
      </c>
      <c r="S325" s="1" t="str" cm="1">
        <f t="array" ref="S325">_xlfn.IFS(L325&gt;5,"high",L325=5,"medium",L325&lt;5,"low")</f>
        <v>high</v>
      </c>
      <c r="T325" s="10" t="str">
        <f t="shared" si="28"/>
        <v>high</v>
      </c>
      <c r="U325" s="1">
        <f t="shared" si="29"/>
        <v>31253.22</v>
      </c>
    </row>
    <row r="326" spans="1:21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25"/>
        <v>0</v>
      </c>
      <c r="Q326" s="1">
        <f t="shared" si="26"/>
        <v>5111.05</v>
      </c>
      <c r="R326" s="1" t="str">
        <f t="shared" si="27"/>
        <v>high</v>
      </c>
      <c r="S326" s="1" t="str" cm="1">
        <f t="array" ref="S326">_xlfn.IFS(L326&gt;5,"high",L326=5,"medium",L326&lt;5,"low")</f>
        <v>high</v>
      </c>
      <c r="T326" s="10" t="str">
        <f t="shared" si="28"/>
        <v>high</v>
      </c>
      <c r="U326" s="1">
        <f t="shared" si="29"/>
        <v>5111.05</v>
      </c>
    </row>
    <row r="327" spans="1:21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25"/>
        <v>617.15500000000009</v>
      </c>
      <c r="Q327" s="1">
        <f t="shared" si="26"/>
        <v>5554.3950000000004</v>
      </c>
      <c r="R327" s="1" t="str">
        <f t="shared" si="27"/>
        <v>low</v>
      </c>
      <c r="S327" s="1" t="str" cm="1">
        <f t="array" ref="S327">_xlfn.IFS(L327&gt;5,"high",L327=5,"medium",L327&lt;5,"low")</f>
        <v>low</v>
      </c>
      <c r="T327" s="10" t="str">
        <f t="shared" si="28"/>
        <v>low</v>
      </c>
      <c r="U327" s="1">
        <f t="shared" si="29"/>
        <v>6857.28</v>
      </c>
    </row>
    <row r="328" spans="1:21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25"/>
        <v>0</v>
      </c>
      <c r="Q328" s="1">
        <f t="shared" si="26"/>
        <v>23802.6</v>
      </c>
      <c r="R328" s="1" t="str">
        <f t="shared" si="27"/>
        <v>high</v>
      </c>
      <c r="S328" s="1" t="str" cm="1">
        <f t="array" ref="S328">_xlfn.IFS(L328&gt;5,"high",L328=5,"medium",L328&lt;5,"low")</f>
        <v>high</v>
      </c>
      <c r="T328" s="10" t="str">
        <f t="shared" si="28"/>
        <v>high</v>
      </c>
      <c r="U328" s="1">
        <f t="shared" si="29"/>
        <v>23802.6</v>
      </c>
    </row>
    <row r="329" spans="1:21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25"/>
        <v>751.82399999999996</v>
      </c>
      <c r="Q329" s="1">
        <f t="shared" si="26"/>
        <v>4260.3360000000002</v>
      </c>
      <c r="R329" s="1" t="str">
        <f t="shared" si="27"/>
        <v>low</v>
      </c>
      <c r="S329" s="1" t="str" cm="1">
        <f t="array" ref="S329">_xlfn.IFS(L329&gt;5,"high",L329=5,"medium",L329&lt;5,"low")</f>
        <v>low</v>
      </c>
      <c r="T329" s="10" t="str">
        <f t="shared" si="28"/>
        <v>low</v>
      </c>
      <c r="U329" s="1">
        <f t="shared" si="29"/>
        <v>5896.66</v>
      </c>
    </row>
    <row r="330" spans="1:21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25"/>
        <v>507.41800000000006</v>
      </c>
      <c r="Q330" s="1">
        <f t="shared" si="26"/>
        <v>2029.672</v>
      </c>
      <c r="R330" s="1" t="str">
        <f t="shared" si="27"/>
        <v>low</v>
      </c>
      <c r="S330" s="1" t="str" cm="1">
        <f t="array" ref="S330">_xlfn.IFS(L330&gt;5,"high",L330=5,"medium",L330&lt;5,"low")</f>
        <v>low</v>
      </c>
      <c r="T330" s="10" t="str">
        <f t="shared" si="28"/>
        <v>low</v>
      </c>
      <c r="U330" s="1">
        <f t="shared" si="29"/>
        <v>3171.36</v>
      </c>
    </row>
    <row r="331" spans="1:21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25"/>
        <v>4455.92</v>
      </c>
      <c r="Q331" s="1">
        <f t="shared" si="26"/>
        <v>17823.68</v>
      </c>
      <c r="R331" s="1" t="str">
        <f t="shared" si="27"/>
        <v>high</v>
      </c>
      <c r="S331" s="1" t="str" cm="1">
        <f t="array" ref="S331">_xlfn.IFS(L331&gt;5,"high",L331=5,"medium",L331&lt;5,"low")</f>
        <v>high</v>
      </c>
      <c r="T331" s="10" t="str">
        <f t="shared" si="28"/>
        <v>high</v>
      </c>
      <c r="U331" s="1">
        <f t="shared" si="29"/>
        <v>27849.5</v>
      </c>
    </row>
    <row r="332" spans="1:21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25"/>
        <v>632.68049999999994</v>
      </c>
      <c r="Q332" s="1">
        <f t="shared" si="26"/>
        <v>3585.1895</v>
      </c>
      <c r="R332" s="1" t="str">
        <f t="shared" si="27"/>
        <v>low</v>
      </c>
      <c r="S332" s="1" t="str" cm="1">
        <f t="array" ref="S332">_xlfn.IFS(L332&gt;5,"high",L332=5,"medium",L332&lt;5,"low")</f>
        <v>low</v>
      </c>
      <c r="T332" s="10" t="str">
        <f t="shared" si="28"/>
        <v>low</v>
      </c>
      <c r="U332" s="1">
        <f t="shared" si="29"/>
        <v>4962.2</v>
      </c>
    </row>
    <row r="333" spans="1:21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25"/>
        <v>126.85899999999999</v>
      </c>
      <c r="Q333" s="1">
        <f t="shared" si="26"/>
        <v>2410.3209999999999</v>
      </c>
      <c r="R333" s="1" t="str">
        <f t="shared" si="27"/>
        <v>low</v>
      </c>
      <c r="S333" s="1" t="str" cm="1">
        <f t="array" ref="S333">_xlfn.IFS(L333&gt;5,"high",L333=5,"medium",L333&lt;5,"low")</f>
        <v>low</v>
      </c>
      <c r="T333" s="10" t="str">
        <f t="shared" si="28"/>
        <v>low</v>
      </c>
      <c r="U333" s="1">
        <f t="shared" si="29"/>
        <v>2670.72</v>
      </c>
    </row>
    <row r="334" spans="1:21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25"/>
        <v>801.44150000000002</v>
      </c>
      <c r="Q334" s="1">
        <f t="shared" si="26"/>
        <v>15227.388499999999</v>
      </c>
      <c r="R334" s="1" t="str">
        <f t="shared" si="27"/>
        <v>high</v>
      </c>
      <c r="S334" s="1" t="str" cm="1">
        <f t="array" ref="S334">_xlfn.IFS(L334&gt;5,"high",L334=5,"medium",L334&lt;5,"low")</f>
        <v>medium</v>
      </c>
      <c r="T334" s="10" t="str">
        <f t="shared" si="28"/>
        <v>medium</v>
      </c>
      <c r="U334" s="1">
        <f t="shared" si="29"/>
        <v>16872.449999999997</v>
      </c>
    </row>
    <row r="335" spans="1:21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25"/>
        <v>2012.616</v>
      </c>
      <c r="Q335" s="1">
        <f t="shared" si="26"/>
        <v>8050.4639999999999</v>
      </c>
      <c r="R335" s="1" t="str">
        <f t="shared" si="27"/>
        <v>high</v>
      </c>
      <c r="S335" s="1" t="str" cm="1">
        <f t="array" ref="S335">_xlfn.IFS(L335&gt;5,"high",L335=5,"medium",L335&lt;5,"low")</f>
        <v>medium</v>
      </c>
      <c r="T335" s="10" t="str">
        <f t="shared" si="28"/>
        <v>medium</v>
      </c>
      <c r="U335" s="1">
        <f t="shared" si="29"/>
        <v>12578.85</v>
      </c>
    </row>
    <row r="336" spans="1:21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25"/>
        <v>2674.1120000000001</v>
      </c>
      <c r="Q336" s="1">
        <f t="shared" si="26"/>
        <v>10696.448</v>
      </c>
      <c r="R336" s="1" t="str">
        <f t="shared" si="27"/>
        <v>high</v>
      </c>
      <c r="S336" s="1" t="str" cm="1">
        <f t="array" ref="S336">_xlfn.IFS(L336&gt;5,"high",L336=5,"medium",L336&lt;5,"low")</f>
        <v>high</v>
      </c>
      <c r="T336" s="10" t="str">
        <f t="shared" si="28"/>
        <v>high</v>
      </c>
      <c r="U336" s="1">
        <f t="shared" si="29"/>
        <v>16713.2</v>
      </c>
    </row>
    <row r="337" spans="1:21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25"/>
        <v>143.62799999999999</v>
      </c>
      <c r="Q337" s="1">
        <f t="shared" si="26"/>
        <v>813.89200000000005</v>
      </c>
      <c r="R337" s="1" t="str">
        <f t="shared" si="27"/>
        <v>low</v>
      </c>
      <c r="S337" s="1" t="str" cm="1">
        <f t="array" ref="S337">_xlfn.IFS(L337&gt;5,"high",L337=5,"medium",L337&lt;5,"low")</f>
        <v>low</v>
      </c>
      <c r="T337" s="10" t="str">
        <f t="shared" si="28"/>
        <v>low</v>
      </c>
      <c r="U337" s="1">
        <f t="shared" si="29"/>
        <v>1126.5</v>
      </c>
    </row>
    <row r="338" spans="1:21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25"/>
        <v>1163.518</v>
      </c>
      <c r="Q338" s="1">
        <f t="shared" si="26"/>
        <v>22106.842000000001</v>
      </c>
      <c r="R338" s="1" t="str">
        <f t="shared" si="27"/>
        <v>high</v>
      </c>
      <c r="S338" s="1" t="str" cm="1">
        <f t="array" ref="S338">_xlfn.IFS(L338&gt;5,"high",L338=5,"medium",L338&lt;5,"low")</f>
        <v>high</v>
      </c>
      <c r="T338" s="10" t="str">
        <f t="shared" si="28"/>
        <v>high</v>
      </c>
      <c r="U338" s="1">
        <f t="shared" si="29"/>
        <v>24495.119999999999</v>
      </c>
    </row>
    <row r="339" spans="1:21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25"/>
        <v>222.922</v>
      </c>
      <c r="Q339" s="1">
        <f t="shared" si="26"/>
        <v>891.68799999999987</v>
      </c>
      <c r="R339" s="1" t="str">
        <f t="shared" si="27"/>
        <v>low</v>
      </c>
      <c r="S339" s="1" t="str" cm="1">
        <f t="array" ref="S339">_xlfn.IFS(L339&gt;5,"high",L339=5,"medium",L339&lt;5,"low")</f>
        <v>low</v>
      </c>
      <c r="T339" s="10" t="str">
        <f t="shared" si="28"/>
        <v>low</v>
      </c>
      <c r="U339" s="1">
        <f t="shared" si="29"/>
        <v>1393.26</v>
      </c>
    </row>
    <row r="340" spans="1:21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25"/>
        <v>704.61700000000008</v>
      </c>
      <c r="Q340" s="1">
        <f t="shared" si="26"/>
        <v>13387.723</v>
      </c>
      <c r="R340" s="1" t="str">
        <f t="shared" si="27"/>
        <v>low</v>
      </c>
      <c r="S340" s="1" t="str" cm="1">
        <f t="array" ref="S340">_xlfn.IFS(L340&gt;5,"high",L340=5,"medium",L340&lt;5,"low")</f>
        <v>low</v>
      </c>
      <c r="T340" s="10" t="str">
        <f t="shared" si="28"/>
        <v>low</v>
      </c>
      <c r="U340" s="1">
        <f t="shared" si="29"/>
        <v>14834.04</v>
      </c>
    </row>
    <row r="341" spans="1:21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25"/>
        <v>2022.364</v>
      </c>
      <c r="Q341" s="1">
        <f t="shared" si="26"/>
        <v>8089.4560000000001</v>
      </c>
      <c r="R341" s="1" t="str">
        <f t="shared" si="27"/>
        <v>high</v>
      </c>
      <c r="S341" s="1" t="str" cm="1">
        <f t="array" ref="S341">_xlfn.IFS(L341&gt;5,"high",L341=5,"medium",L341&lt;5,"low")</f>
        <v>high</v>
      </c>
      <c r="T341" s="10" t="str">
        <f t="shared" si="28"/>
        <v>high</v>
      </c>
      <c r="U341" s="1">
        <f t="shared" si="29"/>
        <v>12639.78</v>
      </c>
    </row>
    <row r="342" spans="1:21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25"/>
        <v>0</v>
      </c>
      <c r="Q342" s="1">
        <f t="shared" si="26"/>
        <v>2567.7199999999998</v>
      </c>
      <c r="R342" s="1" t="str">
        <f t="shared" si="27"/>
        <v>low</v>
      </c>
      <c r="S342" s="1" t="str" cm="1">
        <f t="array" ref="S342">_xlfn.IFS(L342&gt;5,"high",L342=5,"medium",L342&lt;5,"low")</f>
        <v>low</v>
      </c>
      <c r="T342" s="10" t="str">
        <f t="shared" si="28"/>
        <v>low</v>
      </c>
      <c r="U342" s="1">
        <f t="shared" si="29"/>
        <v>2567.7199999999998</v>
      </c>
    </row>
    <row r="343" spans="1:21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25"/>
        <v>833.899</v>
      </c>
      <c r="Q343" s="1">
        <f t="shared" si="26"/>
        <v>7505.0909999999994</v>
      </c>
      <c r="R343" s="1" t="str">
        <f t="shared" si="27"/>
        <v>high</v>
      </c>
      <c r="S343" s="1" t="str" cm="1">
        <f t="array" ref="S343">_xlfn.IFS(L343&gt;5,"high",L343=5,"medium",L343&lt;5,"low")</f>
        <v>medium</v>
      </c>
      <c r="T343" s="10" t="str">
        <f t="shared" si="28"/>
        <v>medium</v>
      </c>
      <c r="U343" s="1">
        <f t="shared" si="29"/>
        <v>9265.5499999999993</v>
      </c>
    </row>
    <row r="344" spans="1:21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25"/>
        <v>0</v>
      </c>
      <c r="Q344" s="1">
        <f t="shared" si="26"/>
        <v>2194.5700000000002</v>
      </c>
      <c r="R344" s="1" t="str">
        <f t="shared" si="27"/>
        <v>high</v>
      </c>
      <c r="S344" s="1" t="str" cm="1">
        <f t="array" ref="S344">_xlfn.IFS(L344&gt;5,"high",L344=5,"medium",L344&lt;5,"low")</f>
        <v>high</v>
      </c>
      <c r="T344" s="10" t="str">
        <f t="shared" si="28"/>
        <v>high</v>
      </c>
      <c r="U344" s="1">
        <f t="shared" si="29"/>
        <v>2194.5699999999997</v>
      </c>
    </row>
    <row r="345" spans="1:21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25"/>
        <v>1782.9180000000001</v>
      </c>
      <c r="Q345" s="1">
        <f t="shared" si="26"/>
        <v>7131.6720000000005</v>
      </c>
      <c r="R345" s="1" t="str">
        <f t="shared" si="27"/>
        <v>low</v>
      </c>
      <c r="S345" s="1" t="str" cm="1">
        <f t="array" ref="S345">_xlfn.IFS(L345&gt;5,"high",L345=5,"medium",L345&lt;5,"low")</f>
        <v>low</v>
      </c>
      <c r="T345" s="10" t="str">
        <f t="shared" si="28"/>
        <v>low</v>
      </c>
      <c r="U345" s="1">
        <f t="shared" si="29"/>
        <v>11143.24</v>
      </c>
    </row>
    <row r="346" spans="1:21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25"/>
        <v>326.28800000000001</v>
      </c>
      <c r="Q346" s="1">
        <f t="shared" si="26"/>
        <v>2936.5920000000001</v>
      </c>
      <c r="R346" s="1" t="str">
        <f t="shared" si="27"/>
        <v>low</v>
      </c>
      <c r="S346" s="1" t="str" cm="1">
        <f t="array" ref="S346">_xlfn.IFS(L346&gt;5,"high",L346=5,"medium",L346&lt;5,"low")</f>
        <v>low</v>
      </c>
      <c r="T346" s="10" t="str">
        <f t="shared" si="28"/>
        <v>low</v>
      </c>
      <c r="U346" s="1">
        <f t="shared" si="29"/>
        <v>3625.42</v>
      </c>
    </row>
    <row r="347" spans="1:21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25"/>
        <v>2732.5030000000002</v>
      </c>
      <c r="Q347" s="1">
        <f t="shared" si="26"/>
        <v>24592.526999999998</v>
      </c>
      <c r="R347" s="1" t="str">
        <f t="shared" si="27"/>
        <v>high</v>
      </c>
      <c r="S347" s="1" t="str" cm="1">
        <f t="array" ref="S347">_xlfn.IFS(L347&gt;5,"high",L347=5,"medium",L347&lt;5,"low")</f>
        <v>high</v>
      </c>
      <c r="T347" s="10" t="str">
        <f t="shared" si="28"/>
        <v>high</v>
      </c>
      <c r="U347" s="1">
        <f t="shared" si="29"/>
        <v>30361.14</v>
      </c>
    </row>
    <row r="348" spans="1:21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25"/>
        <v>409.83600000000001</v>
      </c>
      <c r="Q348" s="1">
        <f t="shared" si="26"/>
        <v>1639.3439999999998</v>
      </c>
      <c r="R348" s="1" t="str">
        <f t="shared" si="27"/>
        <v>low</v>
      </c>
      <c r="S348" s="1" t="str" cm="1">
        <f t="array" ref="S348">_xlfn.IFS(L348&gt;5,"high",L348=5,"medium",L348&lt;5,"low")</f>
        <v>low</v>
      </c>
      <c r="T348" s="10" t="str">
        <f t="shared" si="28"/>
        <v>low</v>
      </c>
      <c r="U348" s="1">
        <f t="shared" si="29"/>
        <v>2561.48</v>
      </c>
    </row>
    <row r="349" spans="1:21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25"/>
        <v>916.04200000000003</v>
      </c>
      <c r="Q349" s="1">
        <f t="shared" si="26"/>
        <v>3664.1680000000001</v>
      </c>
      <c r="R349" s="1" t="str">
        <f t="shared" si="27"/>
        <v>high</v>
      </c>
      <c r="S349" s="1" t="str" cm="1">
        <f t="array" ref="S349">_xlfn.IFS(L349&gt;5,"high",L349=5,"medium",L349&lt;5,"low")</f>
        <v>high</v>
      </c>
      <c r="T349" s="10" t="str">
        <f t="shared" si="28"/>
        <v>high</v>
      </c>
      <c r="U349" s="1">
        <f t="shared" si="29"/>
        <v>5725.26</v>
      </c>
    </row>
    <row r="350" spans="1:21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25"/>
        <v>935.29</v>
      </c>
      <c r="Q350" s="1">
        <f t="shared" si="26"/>
        <v>17770.509999999998</v>
      </c>
      <c r="R350" s="1" t="str">
        <f t="shared" si="27"/>
        <v>high</v>
      </c>
      <c r="S350" s="1" t="str" cm="1">
        <f t="array" ref="S350">_xlfn.IFS(L350&gt;5,"high",L350=5,"medium",L350&lt;5,"low")</f>
        <v>high</v>
      </c>
      <c r="T350" s="10" t="str">
        <f t="shared" si="28"/>
        <v>high</v>
      </c>
      <c r="U350" s="1">
        <f t="shared" si="29"/>
        <v>19690.32</v>
      </c>
    </row>
    <row r="351" spans="1:21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25"/>
        <v>593.34</v>
      </c>
      <c r="Q351" s="1">
        <f t="shared" si="26"/>
        <v>2373.3599999999997</v>
      </c>
      <c r="R351" s="1" t="str">
        <f t="shared" si="27"/>
        <v>low</v>
      </c>
      <c r="S351" s="1" t="str" cm="1">
        <f t="array" ref="S351">_xlfn.IFS(L351&gt;5,"high",L351=5,"medium",L351&lt;5,"low")</f>
        <v>low</v>
      </c>
      <c r="T351" s="10" t="str">
        <f t="shared" si="28"/>
        <v>low</v>
      </c>
      <c r="U351" s="1">
        <f t="shared" si="29"/>
        <v>3708.38</v>
      </c>
    </row>
    <row r="352" spans="1:21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25"/>
        <v>735.76949999999999</v>
      </c>
      <c r="Q352" s="1">
        <f t="shared" si="26"/>
        <v>4169.3604999999998</v>
      </c>
      <c r="R352" s="1" t="str">
        <f t="shared" si="27"/>
        <v>low</v>
      </c>
      <c r="S352" s="1" t="str" cm="1">
        <f t="array" ref="S352">_xlfn.IFS(L352&gt;5,"high",L352=5,"medium",L352&lt;5,"low")</f>
        <v>low</v>
      </c>
      <c r="T352" s="10" t="str">
        <f t="shared" si="28"/>
        <v>low</v>
      </c>
      <c r="U352" s="1">
        <f t="shared" si="29"/>
        <v>5770.74</v>
      </c>
    </row>
    <row r="353" spans="1:21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25"/>
        <v>662.73199999999997</v>
      </c>
      <c r="Q353" s="1">
        <f t="shared" si="26"/>
        <v>2650.9279999999999</v>
      </c>
      <c r="R353" s="1" t="str">
        <f t="shared" si="27"/>
        <v>low</v>
      </c>
      <c r="S353" s="1" t="str" cm="1">
        <f t="array" ref="S353">_xlfn.IFS(L353&gt;5,"high",L353=5,"medium",L353&lt;5,"low")</f>
        <v>low</v>
      </c>
      <c r="T353" s="10" t="str">
        <f t="shared" si="28"/>
        <v>low</v>
      </c>
      <c r="U353" s="1">
        <f t="shared" si="29"/>
        <v>4142.08</v>
      </c>
    </row>
    <row r="354" spans="1:21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25"/>
        <v>1578.1680000000001</v>
      </c>
      <c r="Q354" s="1">
        <f t="shared" si="26"/>
        <v>8942.9520000000011</v>
      </c>
      <c r="R354" s="1" t="str">
        <f t="shared" si="27"/>
        <v>high</v>
      </c>
      <c r="S354" s="1" t="str" cm="1">
        <f t="array" ref="S354">_xlfn.IFS(L354&gt;5,"high",L354=5,"medium",L354&lt;5,"low")</f>
        <v>high</v>
      </c>
      <c r="T354" s="10" t="str">
        <f t="shared" si="28"/>
        <v>high</v>
      </c>
      <c r="U354" s="1">
        <f t="shared" si="29"/>
        <v>12377.789999999999</v>
      </c>
    </row>
    <row r="355" spans="1:21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25"/>
        <v>574.86800000000005</v>
      </c>
      <c r="Q355" s="1">
        <f t="shared" si="26"/>
        <v>2299.4720000000002</v>
      </c>
      <c r="R355" s="1" t="str">
        <f t="shared" si="27"/>
        <v>low</v>
      </c>
      <c r="S355" s="1" t="str" cm="1">
        <f t="array" ref="S355">_xlfn.IFS(L355&gt;5,"high",L355=5,"medium",L355&lt;5,"low")</f>
        <v>low</v>
      </c>
      <c r="T355" s="10" t="str">
        <f t="shared" si="28"/>
        <v>low</v>
      </c>
      <c r="U355" s="1">
        <f t="shared" si="29"/>
        <v>3592.92</v>
      </c>
    </row>
    <row r="356" spans="1:21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25"/>
        <v>1125.556</v>
      </c>
      <c r="Q356" s="1">
        <f t="shared" si="26"/>
        <v>21385.563999999998</v>
      </c>
      <c r="R356" s="1" t="str">
        <f t="shared" si="27"/>
        <v>high</v>
      </c>
      <c r="S356" s="1" t="str" cm="1">
        <f t="array" ref="S356">_xlfn.IFS(L356&gt;5,"high",L356=5,"medium",L356&lt;5,"low")</f>
        <v>high</v>
      </c>
      <c r="T356" s="10" t="str">
        <f t="shared" si="28"/>
        <v>high</v>
      </c>
      <c r="U356" s="1">
        <f t="shared" si="29"/>
        <v>23695.920000000002</v>
      </c>
    </row>
    <row r="357" spans="1:21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25"/>
        <v>1445.586</v>
      </c>
      <c r="Q357" s="1">
        <f t="shared" si="26"/>
        <v>8191.6539999999995</v>
      </c>
      <c r="R357" s="1" t="str">
        <f t="shared" si="27"/>
        <v>high</v>
      </c>
      <c r="S357" s="1" t="str" cm="1">
        <f t="array" ref="S357">_xlfn.IFS(L357&gt;5,"high",L357=5,"medium",L357&lt;5,"low")</f>
        <v>high</v>
      </c>
      <c r="T357" s="10" t="str">
        <f t="shared" si="28"/>
        <v>high</v>
      </c>
      <c r="U357" s="1">
        <f t="shared" si="29"/>
        <v>11337.93</v>
      </c>
    </row>
    <row r="358" spans="1:21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25"/>
        <v>0</v>
      </c>
      <c r="Q358" s="1">
        <f t="shared" si="26"/>
        <v>10402.48</v>
      </c>
      <c r="R358" s="1" t="str">
        <f t="shared" si="27"/>
        <v>high</v>
      </c>
      <c r="S358" s="1" t="str" cm="1">
        <f t="array" ref="S358">_xlfn.IFS(L358&gt;5,"high",L358=5,"medium",L358&lt;5,"low")</f>
        <v>high</v>
      </c>
      <c r="T358" s="10" t="str">
        <f t="shared" si="28"/>
        <v>high</v>
      </c>
      <c r="U358" s="1">
        <f t="shared" si="29"/>
        <v>10402.48</v>
      </c>
    </row>
    <row r="359" spans="1:21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25"/>
        <v>3652.7429999999999</v>
      </c>
      <c r="Q359" s="1">
        <f t="shared" si="26"/>
        <v>20698.877</v>
      </c>
      <c r="R359" s="1" t="str">
        <f t="shared" si="27"/>
        <v>high</v>
      </c>
      <c r="S359" s="1" t="str" cm="1">
        <f t="array" ref="S359">_xlfn.IFS(L359&gt;5,"high",L359=5,"medium",L359&lt;5,"low")</f>
        <v>high</v>
      </c>
      <c r="T359" s="10" t="str">
        <f t="shared" si="28"/>
        <v>high</v>
      </c>
      <c r="U359" s="1">
        <f t="shared" si="29"/>
        <v>28648.959999999999</v>
      </c>
    </row>
    <row r="360" spans="1:21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25"/>
        <v>9.6185000000000009</v>
      </c>
      <c r="Q360" s="1">
        <f t="shared" si="26"/>
        <v>182.75149999999999</v>
      </c>
      <c r="R360" s="1" t="str">
        <f t="shared" si="27"/>
        <v>low</v>
      </c>
      <c r="S360" s="1" t="str" cm="1">
        <f t="array" ref="S360">_xlfn.IFS(L360&gt;5,"high",L360=5,"medium",L360&lt;5,"low")</f>
        <v>low</v>
      </c>
      <c r="T360" s="10" t="str">
        <f t="shared" si="28"/>
        <v>low</v>
      </c>
      <c r="U360" s="1">
        <f t="shared" si="29"/>
        <v>202.49</v>
      </c>
    </row>
    <row r="361" spans="1:21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25"/>
        <v>1420.35</v>
      </c>
      <c r="Q361" s="1">
        <f t="shared" si="26"/>
        <v>8048.65</v>
      </c>
      <c r="R361" s="1" t="str">
        <f t="shared" si="27"/>
        <v>high</v>
      </c>
      <c r="S361" s="1" t="str" cm="1">
        <f t="array" ref="S361">_xlfn.IFS(L361&gt;5,"high",L361=5,"medium",L361&lt;5,"low")</f>
        <v>high</v>
      </c>
      <c r="T361" s="10" t="str">
        <f t="shared" si="28"/>
        <v>high</v>
      </c>
      <c r="U361" s="1">
        <f t="shared" si="29"/>
        <v>11140</v>
      </c>
    </row>
    <row r="362" spans="1:21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25"/>
        <v>1096.45</v>
      </c>
      <c r="Q362" s="1">
        <f t="shared" si="26"/>
        <v>4385.8</v>
      </c>
      <c r="R362" s="1" t="str">
        <f t="shared" si="27"/>
        <v>low</v>
      </c>
      <c r="S362" s="1" t="str" cm="1">
        <f t="array" ref="S362">_xlfn.IFS(L362&gt;5,"high",L362=5,"medium",L362&lt;5,"low")</f>
        <v>low</v>
      </c>
      <c r="T362" s="10" t="str">
        <f t="shared" si="28"/>
        <v>low</v>
      </c>
      <c r="U362" s="1">
        <f t="shared" si="29"/>
        <v>6852.8099999999995</v>
      </c>
    </row>
    <row r="363" spans="1:21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25"/>
        <v>807.11599999999999</v>
      </c>
      <c r="Q363" s="1">
        <f t="shared" si="26"/>
        <v>3228.4639999999999</v>
      </c>
      <c r="R363" s="1" t="str">
        <f t="shared" si="27"/>
        <v>high</v>
      </c>
      <c r="S363" s="1" t="str" cm="1">
        <f t="array" ref="S363">_xlfn.IFS(L363&gt;5,"high",L363=5,"medium",L363&lt;5,"low")</f>
        <v>high</v>
      </c>
      <c r="T363" s="10" t="str">
        <f t="shared" si="28"/>
        <v>high</v>
      </c>
      <c r="U363" s="1">
        <f t="shared" si="29"/>
        <v>5044.4799999999996</v>
      </c>
    </row>
    <row r="364" spans="1:21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25"/>
        <v>23.967500000000001</v>
      </c>
      <c r="Q364" s="1">
        <f t="shared" si="26"/>
        <v>455.38250000000005</v>
      </c>
      <c r="R364" s="1" t="str">
        <f t="shared" si="27"/>
        <v>low</v>
      </c>
      <c r="S364" s="1" t="str" cm="1">
        <f t="array" ref="S364">_xlfn.IFS(L364&gt;5,"high",L364=5,"medium",L364&lt;5,"low")</f>
        <v>low</v>
      </c>
      <c r="T364" s="10" t="str">
        <f t="shared" si="28"/>
        <v>low</v>
      </c>
      <c r="U364" s="1">
        <f t="shared" si="29"/>
        <v>504.58</v>
      </c>
    </row>
    <row r="365" spans="1:21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25"/>
        <v>295.99299999999999</v>
      </c>
      <c r="Q365" s="1">
        <f t="shared" si="26"/>
        <v>2663.9369999999999</v>
      </c>
      <c r="R365" s="1" t="str">
        <f t="shared" si="27"/>
        <v>low</v>
      </c>
      <c r="S365" s="1" t="str" cm="1">
        <f t="array" ref="S365">_xlfn.IFS(L365&gt;5,"high",L365=5,"medium",L365&lt;5,"low")</f>
        <v>low</v>
      </c>
      <c r="T365" s="10" t="str">
        <f t="shared" si="28"/>
        <v>low</v>
      </c>
      <c r="U365" s="1">
        <f t="shared" si="29"/>
        <v>3288.81</v>
      </c>
    </row>
    <row r="366" spans="1:21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25"/>
        <v>2874.768</v>
      </c>
      <c r="Q366" s="1">
        <f t="shared" si="26"/>
        <v>11499.072</v>
      </c>
      <c r="R366" s="1" t="str">
        <f t="shared" si="27"/>
        <v>high</v>
      </c>
      <c r="S366" s="1" t="str" cm="1">
        <f t="array" ref="S366">_xlfn.IFS(L366&gt;5,"high",L366=5,"medium",L366&lt;5,"low")</f>
        <v>medium</v>
      </c>
      <c r="T366" s="10" t="str">
        <f t="shared" si="28"/>
        <v>medium</v>
      </c>
      <c r="U366" s="1">
        <f t="shared" si="29"/>
        <v>17967.3</v>
      </c>
    </row>
    <row r="367" spans="1:21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25"/>
        <v>0</v>
      </c>
      <c r="Q367" s="1">
        <f t="shared" si="26"/>
        <v>16604.400000000001</v>
      </c>
      <c r="R367" s="1" t="str">
        <f t="shared" si="27"/>
        <v>high</v>
      </c>
      <c r="S367" s="1" t="str" cm="1">
        <f t="array" ref="S367">_xlfn.IFS(L367&gt;5,"high",L367=5,"medium",L367&lt;5,"low")</f>
        <v>medium</v>
      </c>
      <c r="T367" s="10" t="str">
        <f t="shared" si="28"/>
        <v>medium</v>
      </c>
      <c r="U367" s="1">
        <f t="shared" si="29"/>
        <v>16604.400000000001</v>
      </c>
    </row>
    <row r="368" spans="1:21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25"/>
        <v>1371.9255000000001</v>
      </c>
      <c r="Q368" s="1">
        <f t="shared" si="26"/>
        <v>26066.584499999997</v>
      </c>
      <c r="R368" s="1" t="str">
        <f t="shared" si="27"/>
        <v>high</v>
      </c>
      <c r="S368" s="1" t="str" cm="1">
        <f t="array" ref="S368">_xlfn.IFS(L368&gt;5,"high",L368=5,"medium",L368&lt;5,"low")</f>
        <v>high</v>
      </c>
      <c r="T368" s="10" t="str">
        <f t="shared" si="28"/>
        <v>high</v>
      </c>
      <c r="U368" s="1">
        <f t="shared" si="29"/>
        <v>28882.639999999999</v>
      </c>
    </row>
    <row r="369" spans="1:21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25"/>
        <v>2034.4364999999998</v>
      </c>
      <c r="Q369" s="1">
        <f t="shared" si="26"/>
        <v>11528.4735</v>
      </c>
      <c r="R369" s="1" t="str">
        <f t="shared" si="27"/>
        <v>high</v>
      </c>
      <c r="S369" s="1" t="str" cm="1">
        <f t="array" ref="S369">_xlfn.IFS(L369&gt;5,"high",L369=5,"medium",L369&lt;5,"low")</f>
        <v>high</v>
      </c>
      <c r="T369" s="10" t="str">
        <f t="shared" si="28"/>
        <v>high</v>
      </c>
      <c r="U369" s="1">
        <f t="shared" si="29"/>
        <v>15956.36</v>
      </c>
    </row>
    <row r="370" spans="1:21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25"/>
        <v>3342.7334999999998</v>
      </c>
      <c r="Q370" s="1">
        <f t="shared" si="26"/>
        <v>18942.156500000001</v>
      </c>
      <c r="R370" s="1" t="str">
        <f t="shared" si="27"/>
        <v>high</v>
      </c>
      <c r="S370" s="1" t="str" cm="1">
        <f t="array" ref="S370">_xlfn.IFS(L370&gt;5,"high",L370=5,"medium",L370&lt;5,"low")</f>
        <v>high</v>
      </c>
      <c r="T370" s="10" t="str">
        <f t="shared" si="28"/>
        <v>high</v>
      </c>
      <c r="U370" s="1">
        <f t="shared" si="29"/>
        <v>26217.52</v>
      </c>
    </row>
    <row r="371" spans="1:21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25"/>
        <v>0</v>
      </c>
      <c r="Q371" s="1">
        <f t="shared" si="26"/>
        <v>9771.36</v>
      </c>
      <c r="R371" s="1" t="str">
        <f t="shared" si="27"/>
        <v>high</v>
      </c>
      <c r="S371" s="1" t="str" cm="1">
        <f t="array" ref="S371">_xlfn.IFS(L371&gt;5,"high",L371=5,"medium",L371&lt;5,"low")</f>
        <v>high</v>
      </c>
      <c r="T371" s="10" t="str">
        <f t="shared" si="28"/>
        <v>high</v>
      </c>
      <c r="U371" s="1">
        <f t="shared" si="29"/>
        <v>9771.36</v>
      </c>
    </row>
    <row r="372" spans="1:21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25"/>
        <v>2606.5240000000003</v>
      </c>
      <c r="Q372" s="1">
        <f t="shared" si="26"/>
        <v>10426.096000000001</v>
      </c>
      <c r="R372" s="1" t="str">
        <f t="shared" si="27"/>
        <v>high</v>
      </c>
      <c r="S372" s="1" t="str" cm="1">
        <f t="array" ref="S372">_xlfn.IFS(L372&gt;5,"high",L372=5,"medium",L372&lt;5,"low")</f>
        <v>high</v>
      </c>
      <c r="T372" s="10" t="str">
        <f t="shared" si="28"/>
        <v>high</v>
      </c>
      <c r="U372" s="1">
        <f t="shared" si="29"/>
        <v>16290.78</v>
      </c>
    </row>
    <row r="373" spans="1:21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25"/>
        <v>375.91700000000003</v>
      </c>
      <c r="Q373" s="1">
        <f t="shared" si="26"/>
        <v>7142.4229999999998</v>
      </c>
      <c r="R373" s="1" t="str">
        <f t="shared" si="27"/>
        <v>low</v>
      </c>
      <c r="S373" s="1" t="str" cm="1">
        <f t="array" ref="S373">_xlfn.IFS(L373&gt;5,"high",L373=5,"medium",L373&lt;5,"low")</f>
        <v>low</v>
      </c>
      <c r="T373" s="10" t="str">
        <f t="shared" si="28"/>
        <v>low</v>
      </c>
      <c r="U373" s="1">
        <f t="shared" si="29"/>
        <v>7914.04</v>
      </c>
    </row>
    <row r="374" spans="1:21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25"/>
        <v>0</v>
      </c>
      <c r="Q374" s="1">
        <f t="shared" si="26"/>
        <v>6114.3</v>
      </c>
      <c r="R374" s="1" t="str">
        <f t="shared" si="27"/>
        <v>high</v>
      </c>
      <c r="S374" s="1" t="str" cm="1">
        <f t="array" ref="S374">_xlfn.IFS(L374&gt;5,"high",L374=5,"medium",L374&lt;5,"low")</f>
        <v>high</v>
      </c>
      <c r="T374" s="10" t="str">
        <f t="shared" si="28"/>
        <v>high</v>
      </c>
      <c r="U374" s="1">
        <f t="shared" si="29"/>
        <v>6114.2999999999993</v>
      </c>
    </row>
    <row r="375" spans="1:21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25"/>
        <v>1320.8879999999999</v>
      </c>
      <c r="Q375" s="1">
        <f t="shared" si="26"/>
        <v>5283.5519999999997</v>
      </c>
      <c r="R375" s="1" t="str">
        <f t="shared" si="27"/>
        <v>high</v>
      </c>
      <c r="S375" s="1" t="str" cm="1">
        <f t="array" ref="S375">_xlfn.IFS(L375&gt;5,"high",L375=5,"medium",L375&lt;5,"low")</f>
        <v>medium</v>
      </c>
      <c r="T375" s="10" t="str">
        <f t="shared" si="28"/>
        <v>medium</v>
      </c>
      <c r="U375" s="1">
        <f t="shared" si="29"/>
        <v>8255.5499999999993</v>
      </c>
    </row>
    <row r="376" spans="1:21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25"/>
        <v>284.74050000000005</v>
      </c>
      <c r="Q376" s="1">
        <f t="shared" si="26"/>
        <v>5410.0695000000005</v>
      </c>
      <c r="R376" s="1" t="str">
        <f t="shared" si="27"/>
        <v>low</v>
      </c>
      <c r="S376" s="1" t="str" cm="1">
        <f t="array" ref="S376">_xlfn.IFS(L376&gt;5,"high",L376=5,"medium",L376&lt;5,"low")</f>
        <v>low</v>
      </c>
      <c r="T376" s="10" t="str">
        <f t="shared" si="28"/>
        <v>low</v>
      </c>
      <c r="U376" s="1">
        <f t="shared" si="29"/>
        <v>5994.54</v>
      </c>
    </row>
    <row r="377" spans="1:21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25"/>
        <v>521.24099999999999</v>
      </c>
      <c r="Q377" s="1">
        <f t="shared" si="26"/>
        <v>2953.6990000000001</v>
      </c>
      <c r="R377" s="1" t="str">
        <f t="shared" si="27"/>
        <v>high</v>
      </c>
      <c r="S377" s="1" t="str" cm="1">
        <f t="array" ref="S377">_xlfn.IFS(L377&gt;5,"high",L377=5,"medium",L377&lt;5,"low")</f>
        <v>high</v>
      </c>
      <c r="T377" s="10" t="str">
        <f t="shared" si="28"/>
        <v>high</v>
      </c>
      <c r="U377" s="1">
        <f t="shared" si="29"/>
        <v>4088.16</v>
      </c>
    </row>
    <row r="378" spans="1:21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25"/>
        <v>175.56</v>
      </c>
      <c r="Q378" s="1">
        <f t="shared" si="26"/>
        <v>3335.64</v>
      </c>
      <c r="R378" s="1" t="str">
        <f t="shared" si="27"/>
        <v>high</v>
      </c>
      <c r="S378" s="1" t="str" cm="1">
        <f t="array" ref="S378">_xlfn.IFS(L378&gt;5,"high",L378=5,"medium",L378&lt;5,"low")</f>
        <v>high</v>
      </c>
      <c r="T378" s="10" t="str">
        <f t="shared" si="28"/>
        <v>high</v>
      </c>
      <c r="U378" s="1">
        <f t="shared" si="29"/>
        <v>3696</v>
      </c>
    </row>
    <row r="379" spans="1:21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25"/>
        <v>2708.9880000000003</v>
      </c>
      <c r="Q379" s="1">
        <f t="shared" si="26"/>
        <v>24380.892</v>
      </c>
      <c r="R379" s="1" t="str">
        <f t="shared" si="27"/>
        <v>high</v>
      </c>
      <c r="S379" s="1" t="str" cm="1">
        <f t="array" ref="S379">_xlfn.IFS(L379&gt;5,"high",L379=5,"medium",L379&lt;5,"low")</f>
        <v>high</v>
      </c>
      <c r="T379" s="10" t="str">
        <f t="shared" si="28"/>
        <v>high</v>
      </c>
      <c r="U379" s="1">
        <f t="shared" si="29"/>
        <v>30099.87</v>
      </c>
    </row>
    <row r="380" spans="1:21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25"/>
        <v>185.75650000000002</v>
      </c>
      <c r="Q380" s="1">
        <f t="shared" si="26"/>
        <v>3529.3735000000001</v>
      </c>
      <c r="R380" s="1" t="str">
        <f t="shared" si="27"/>
        <v>low</v>
      </c>
      <c r="S380" s="1" t="str" cm="1">
        <f t="array" ref="S380">_xlfn.IFS(L380&gt;5,"high",L380=5,"medium",L380&lt;5,"low")</f>
        <v>low</v>
      </c>
      <c r="T380" s="10" t="str">
        <f t="shared" si="28"/>
        <v>low</v>
      </c>
      <c r="U380" s="1">
        <f t="shared" si="29"/>
        <v>3910.66</v>
      </c>
    </row>
    <row r="381" spans="1:21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25"/>
        <v>461.21100000000001</v>
      </c>
      <c r="Q381" s="1">
        <f t="shared" si="26"/>
        <v>4150.8989999999994</v>
      </c>
      <c r="R381" s="1" t="str">
        <f t="shared" si="27"/>
        <v>low</v>
      </c>
      <c r="S381" s="1" t="str" cm="1">
        <f t="array" ref="S381">_xlfn.IFS(L381&gt;5,"high",L381=5,"medium",L381&lt;5,"low")</f>
        <v>low</v>
      </c>
      <c r="T381" s="10" t="str">
        <f t="shared" si="28"/>
        <v>low</v>
      </c>
      <c r="U381" s="1">
        <f t="shared" si="29"/>
        <v>5124.57</v>
      </c>
    </row>
    <row r="382" spans="1:21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25"/>
        <v>69.461500000000001</v>
      </c>
      <c r="Q382" s="1">
        <f t="shared" si="26"/>
        <v>1319.7685000000001</v>
      </c>
      <c r="R382" s="1" t="str">
        <f t="shared" si="27"/>
        <v>low</v>
      </c>
      <c r="S382" s="1" t="str" cm="1">
        <f t="array" ref="S382">_xlfn.IFS(L382&gt;5,"high",L382=5,"medium",L382&lt;5,"low")</f>
        <v>low</v>
      </c>
      <c r="T382" s="10" t="str">
        <f t="shared" si="28"/>
        <v>low</v>
      </c>
      <c r="U382" s="1">
        <f t="shared" si="29"/>
        <v>1462.35</v>
      </c>
    </row>
    <row r="383" spans="1:21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25"/>
        <v>290.43400000000003</v>
      </c>
      <c r="Q383" s="1">
        <f t="shared" si="26"/>
        <v>2613.9059999999999</v>
      </c>
      <c r="R383" s="1" t="str">
        <f t="shared" si="27"/>
        <v>high</v>
      </c>
      <c r="S383" s="1" t="str" cm="1">
        <f t="array" ref="S383">_xlfn.IFS(L383&gt;5,"high",L383=5,"medium",L383&lt;5,"low")</f>
        <v>high</v>
      </c>
      <c r="T383" s="10" t="str">
        <f t="shared" si="28"/>
        <v>high</v>
      </c>
      <c r="U383" s="1">
        <f t="shared" si="29"/>
        <v>3227.04</v>
      </c>
    </row>
    <row r="384" spans="1:21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25"/>
        <v>456.65100000000001</v>
      </c>
      <c r="Q384" s="1">
        <f t="shared" si="26"/>
        <v>2587.6890000000003</v>
      </c>
      <c r="R384" s="1" t="str">
        <f t="shared" si="27"/>
        <v>low</v>
      </c>
      <c r="S384" s="1" t="str" cm="1">
        <f t="array" ref="S384">_xlfn.IFS(L384&gt;5,"high",L384=5,"medium",L384&lt;5,"low")</f>
        <v>low</v>
      </c>
      <c r="T384" s="10" t="str">
        <f t="shared" si="28"/>
        <v>low</v>
      </c>
      <c r="U384" s="1">
        <f t="shared" si="29"/>
        <v>3581.58</v>
      </c>
    </row>
    <row r="385" spans="1:21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25"/>
        <v>1548.5440000000001</v>
      </c>
      <c r="Q385" s="1">
        <f t="shared" si="26"/>
        <v>6194.1760000000004</v>
      </c>
      <c r="R385" s="1" t="str">
        <f t="shared" si="27"/>
        <v>high</v>
      </c>
      <c r="S385" s="1" t="str" cm="1">
        <f t="array" ref="S385">_xlfn.IFS(L385&gt;5,"high",L385=5,"medium",L385&lt;5,"low")</f>
        <v>medium</v>
      </c>
      <c r="T385" s="10" t="str">
        <f t="shared" si="28"/>
        <v>medium</v>
      </c>
      <c r="U385" s="1">
        <f t="shared" si="29"/>
        <v>9678.4</v>
      </c>
    </row>
    <row r="386" spans="1:21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25"/>
        <v>373.17</v>
      </c>
      <c r="Q386" s="1">
        <f t="shared" si="26"/>
        <v>3358.5299999999997</v>
      </c>
      <c r="R386" s="1" t="str">
        <f t="shared" si="27"/>
        <v>low</v>
      </c>
      <c r="S386" s="1" t="str" cm="1">
        <f t="array" ref="S386">_xlfn.IFS(L386&gt;5,"high",L386=5,"medium",L386&lt;5,"low")</f>
        <v>low</v>
      </c>
      <c r="T386" s="10" t="str">
        <f t="shared" si="28"/>
        <v>low</v>
      </c>
      <c r="U386" s="1">
        <f t="shared" si="29"/>
        <v>4146.33</v>
      </c>
    </row>
    <row r="387" spans="1:21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30">O387*N387%</f>
        <v>357.18800000000005</v>
      </c>
      <c r="Q387" s="1">
        <f t="shared" ref="Q387:Q450" si="31">O387-P387</f>
        <v>3214.692</v>
      </c>
      <c r="R387" s="1" t="str">
        <f t="shared" ref="R387:R450" si="32">IF(L387&gt;=5,"high","low")</f>
        <v>low</v>
      </c>
      <c r="S387" s="1" t="str" cm="1">
        <f t="array" ref="S387">_xlfn.IFS(L387&gt;5,"high",L387=5,"medium",L387&lt;5,"low")</f>
        <v>low</v>
      </c>
      <c r="T387" s="10" t="str">
        <f t="shared" ref="T387:T450" si="33">IF(L387&gt;5,"high",IF(L387=5,"medium","low"))</f>
        <v>low</v>
      </c>
      <c r="U387" s="1">
        <f t="shared" ref="U387:U450" si="34">L387*M387</f>
        <v>3968.76</v>
      </c>
    </row>
    <row r="388" spans="1:21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30"/>
        <v>1402.98</v>
      </c>
      <c r="Q388" s="1">
        <f t="shared" si="31"/>
        <v>7950.2200000000012</v>
      </c>
      <c r="R388" s="1" t="str">
        <f t="shared" si="32"/>
        <v>high</v>
      </c>
      <c r="S388" s="1" t="str" cm="1">
        <f t="array" ref="S388">_xlfn.IFS(L388&gt;5,"high",L388=5,"medium",L388&lt;5,"low")</f>
        <v>high</v>
      </c>
      <c r="T388" s="10" t="str">
        <f t="shared" si="33"/>
        <v>high</v>
      </c>
      <c r="U388" s="1">
        <f t="shared" si="34"/>
        <v>11003.76</v>
      </c>
    </row>
    <row r="389" spans="1:21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30"/>
        <v>548.85299999999995</v>
      </c>
      <c r="Q389" s="1">
        <f t="shared" si="31"/>
        <v>4939.6769999999997</v>
      </c>
      <c r="R389" s="1" t="str">
        <f t="shared" si="32"/>
        <v>low</v>
      </c>
      <c r="S389" s="1" t="str" cm="1">
        <f t="array" ref="S389">_xlfn.IFS(L389&gt;5,"high",L389=5,"medium",L389&lt;5,"low")</f>
        <v>low</v>
      </c>
      <c r="T389" s="10" t="str">
        <f t="shared" si="33"/>
        <v>low</v>
      </c>
      <c r="U389" s="1">
        <f t="shared" si="34"/>
        <v>6098.37</v>
      </c>
    </row>
    <row r="390" spans="1:21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30"/>
        <v>0</v>
      </c>
      <c r="Q390" s="1">
        <f t="shared" si="31"/>
        <v>24215.03</v>
      </c>
      <c r="R390" s="1" t="str">
        <f t="shared" si="32"/>
        <v>high</v>
      </c>
      <c r="S390" s="1" t="str" cm="1">
        <f t="array" ref="S390">_xlfn.IFS(L390&gt;5,"high",L390=5,"medium",L390&lt;5,"low")</f>
        <v>high</v>
      </c>
      <c r="T390" s="10" t="str">
        <f t="shared" si="33"/>
        <v>high</v>
      </c>
      <c r="U390" s="1">
        <f t="shared" si="34"/>
        <v>24215.03</v>
      </c>
    </row>
    <row r="391" spans="1:21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30"/>
        <v>309.87149999999997</v>
      </c>
      <c r="Q391" s="1">
        <f t="shared" si="31"/>
        <v>1755.9385</v>
      </c>
      <c r="R391" s="1" t="str">
        <f t="shared" si="32"/>
        <v>low</v>
      </c>
      <c r="S391" s="1" t="str" cm="1">
        <f t="array" ref="S391">_xlfn.IFS(L391&gt;5,"high",L391=5,"medium",L391&lt;5,"low")</f>
        <v>low</v>
      </c>
      <c r="T391" s="10" t="str">
        <f t="shared" si="33"/>
        <v>low</v>
      </c>
      <c r="U391" s="1">
        <f t="shared" si="34"/>
        <v>2430.36</v>
      </c>
    </row>
    <row r="392" spans="1:21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30"/>
        <v>0</v>
      </c>
      <c r="Q392" s="1">
        <f t="shared" si="31"/>
        <v>16946.52</v>
      </c>
      <c r="R392" s="1" t="str">
        <f t="shared" si="32"/>
        <v>high</v>
      </c>
      <c r="S392" s="1" t="str" cm="1">
        <f t="array" ref="S392">_xlfn.IFS(L392&gt;5,"high",L392=5,"medium",L392&lt;5,"low")</f>
        <v>high</v>
      </c>
      <c r="T392" s="10" t="str">
        <f t="shared" si="33"/>
        <v>high</v>
      </c>
      <c r="U392" s="1">
        <f t="shared" si="34"/>
        <v>16946.52</v>
      </c>
    </row>
    <row r="393" spans="1:21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30"/>
        <v>594.39750000000004</v>
      </c>
      <c r="Q393" s="1">
        <f t="shared" si="31"/>
        <v>3368.2525000000001</v>
      </c>
      <c r="R393" s="1" t="str">
        <f t="shared" si="32"/>
        <v>low</v>
      </c>
      <c r="S393" s="1" t="str" cm="1">
        <f t="array" ref="S393">_xlfn.IFS(L393&gt;5,"high",L393=5,"medium",L393&lt;5,"low")</f>
        <v>low</v>
      </c>
      <c r="T393" s="10" t="str">
        <f t="shared" si="33"/>
        <v>low</v>
      </c>
      <c r="U393" s="1">
        <f t="shared" si="34"/>
        <v>4661.9400000000005</v>
      </c>
    </row>
    <row r="394" spans="1:21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30"/>
        <v>2155.1400000000003</v>
      </c>
      <c r="Q394" s="1">
        <f t="shared" si="31"/>
        <v>19396.260000000002</v>
      </c>
      <c r="R394" s="1" t="str">
        <f t="shared" si="32"/>
        <v>high</v>
      </c>
      <c r="S394" s="1" t="str" cm="1">
        <f t="array" ref="S394">_xlfn.IFS(L394&gt;5,"high",L394=5,"medium",L394&lt;5,"low")</f>
        <v>high</v>
      </c>
      <c r="T394" s="10" t="str">
        <f t="shared" si="33"/>
        <v>high</v>
      </c>
      <c r="U394" s="1">
        <f t="shared" si="34"/>
        <v>23946</v>
      </c>
    </row>
    <row r="395" spans="1:21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30"/>
        <v>0</v>
      </c>
      <c r="Q395" s="1">
        <f t="shared" si="31"/>
        <v>16298.88</v>
      </c>
      <c r="R395" s="1" t="str">
        <f t="shared" si="32"/>
        <v>high</v>
      </c>
      <c r="S395" s="1" t="str" cm="1">
        <f t="array" ref="S395">_xlfn.IFS(L395&gt;5,"high",L395=5,"medium",L395&lt;5,"low")</f>
        <v>high</v>
      </c>
      <c r="T395" s="10" t="str">
        <f t="shared" si="33"/>
        <v>high</v>
      </c>
      <c r="U395" s="1">
        <f t="shared" si="34"/>
        <v>16298.880000000001</v>
      </c>
    </row>
    <row r="396" spans="1:21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30"/>
        <v>109.85599999999999</v>
      </c>
      <c r="Q396" s="1">
        <f t="shared" si="31"/>
        <v>988.70399999999995</v>
      </c>
      <c r="R396" s="1" t="str">
        <f t="shared" si="32"/>
        <v>low</v>
      </c>
      <c r="S396" s="1" t="str" cm="1">
        <f t="array" ref="S396">_xlfn.IFS(L396&gt;5,"high",L396=5,"medium",L396&lt;5,"low")</f>
        <v>low</v>
      </c>
      <c r="T396" s="10" t="str">
        <f t="shared" si="33"/>
        <v>low</v>
      </c>
      <c r="U396" s="1">
        <f t="shared" si="34"/>
        <v>1220.6199999999999</v>
      </c>
    </row>
    <row r="397" spans="1:21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30"/>
        <v>1801.3229999999999</v>
      </c>
      <c r="Q397" s="1">
        <f t="shared" si="31"/>
        <v>10207.496999999999</v>
      </c>
      <c r="R397" s="1" t="str">
        <f t="shared" si="32"/>
        <v>high</v>
      </c>
      <c r="S397" s="1" t="str" cm="1">
        <f t="array" ref="S397">_xlfn.IFS(L397&gt;5,"high",L397=5,"medium",L397&lt;5,"low")</f>
        <v>high</v>
      </c>
      <c r="T397" s="10" t="str">
        <f t="shared" si="33"/>
        <v>high</v>
      </c>
      <c r="U397" s="1">
        <f t="shared" si="34"/>
        <v>14128.02</v>
      </c>
    </row>
    <row r="398" spans="1:21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30"/>
        <v>717.23</v>
      </c>
      <c r="Q398" s="1">
        <f t="shared" si="31"/>
        <v>6455.07</v>
      </c>
      <c r="R398" s="1" t="str">
        <f t="shared" si="32"/>
        <v>high</v>
      </c>
      <c r="S398" s="1" t="str" cm="1">
        <f t="array" ref="S398">_xlfn.IFS(L398&gt;5,"high",L398=5,"medium",L398&lt;5,"low")</f>
        <v>high</v>
      </c>
      <c r="T398" s="10" t="str">
        <f t="shared" si="33"/>
        <v>high</v>
      </c>
      <c r="U398" s="1">
        <f t="shared" si="34"/>
        <v>7969.22</v>
      </c>
    </row>
    <row r="399" spans="1:21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30"/>
        <v>0</v>
      </c>
      <c r="Q399" s="1">
        <f t="shared" si="31"/>
        <v>16228.85</v>
      </c>
      <c r="R399" s="1" t="str">
        <f t="shared" si="32"/>
        <v>high</v>
      </c>
      <c r="S399" s="1" t="str" cm="1">
        <f t="array" ref="S399">_xlfn.IFS(L399&gt;5,"high",L399=5,"medium",L399&lt;5,"low")</f>
        <v>medium</v>
      </c>
      <c r="T399" s="10" t="str">
        <f t="shared" si="33"/>
        <v>medium</v>
      </c>
      <c r="U399" s="1">
        <f t="shared" si="34"/>
        <v>16228.85</v>
      </c>
    </row>
    <row r="400" spans="1:21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30"/>
        <v>0</v>
      </c>
      <c r="Q400" s="1">
        <f t="shared" si="31"/>
        <v>5369.58</v>
      </c>
      <c r="R400" s="1" t="str">
        <f t="shared" si="32"/>
        <v>low</v>
      </c>
      <c r="S400" s="1" t="str" cm="1">
        <f t="array" ref="S400">_xlfn.IFS(L400&gt;5,"high",L400=5,"medium",L400&lt;5,"low")</f>
        <v>low</v>
      </c>
      <c r="T400" s="10" t="str">
        <f t="shared" si="33"/>
        <v>low</v>
      </c>
      <c r="U400" s="1">
        <f t="shared" si="34"/>
        <v>5369.58</v>
      </c>
    </row>
    <row r="401" spans="1:21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30"/>
        <v>1432.6310000000001</v>
      </c>
      <c r="Q401" s="1">
        <f t="shared" si="31"/>
        <v>12893.679</v>
      </c>
      <c r="R401" s="1" t="str">
        <f t="shared" si="32"/>
        <v>low</v>
      </c>
      <c r="S401" s="1" t="str" cm="1">
        <f t="array" ref="S401">_xlfn.IFS(L401&gt;5,"high",L401=5,"medium",L401&lt;5,"low")</f>
        <v>low</v>
      </c>
      <c r="T401" s="10" t="str">
        <f t="shared" si="33"/>
        <v>low</v>
      </c>
      <c r="U401" s="1">
        <f t="shared" si="34"/>
        <v>15918.12</v>
      </c>
    </row>
    <row r="402" spans="1:21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30"/>
        <v>96.164500000000004</v>
      </c>
      <c r="Q402" s="1">
        <f t="shared" si="31"/>
        <v>1827.1254999999999</v>
      </c>
      <c r="R402" s="1" t="str">
        <f t="shared" si="32"/>
        <v>low</v>
      </c>
      <c r="S402" s="1" t="str" cm="1">
        <f t="array" ref="S402">_xlfn.IFS(L402&gt;5,"high",L402=5,"medium",L402&lt;5,"low")</f>
        <v>low</v>
      </c>
      <c r="T402" s="10" t="str">
        <f t="shared" si="33"/>
        <v>low</v>
      </c>
      <c r="U402" s="1">
        <f t="shared" si="34"/>
        <v>2024.52</v>
      </c>
    </row>
    <row r="403" spans="1:21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30"/>
        <v>2413.0694999999996</v>
      </c>
      <c r="Q403" s="1">
        <f t="shared" si="31"/>
        <v>13674.0605</v>
      </c>
      <c r="R403" s="1" t="str">
        <f t="shared" si="32"/>
        <v>high</v>
      </c>
      <c r="S403" s="1" t="str" cm="1">
        <f t="array" ref="S403">_xlfn.IFS(L403&gt;5,"high",L403=5,"medium",L403&lt;5,"low")</f>
        <v>high</v>
      </c>
      <c r="T403" s="10" t="str">
        <f t="shared" si="33"/>
        <v>high</v>
      </c>
      <c r="U403" s="1">
        <f t="shared" si="34"/>
        <v>18926.04</v>
      </c>
    </row>
    <row r="404" spans="1:21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30"/>
        <v>349.82850000000002</v>
      </c>
      <c r="Q404" s="1">
        <f t="shared" si="31"/>
        <v>1982.3615</v>
      </c>
      <c r="R404" s="1" t="str">
        <f t="shared" si="32"/>
        <v>low</v>
      </c>
      <c r="S404" s="1" t="str" cm="1">
        <f t="array" ref="S404">_xlfn.IFS(L404&gt;5,"high",L404=5,"medium",L404&lt;5,"low")</f>
        <v>low</v>
      </c>
      <c r="T404" s="10" t="str">
        <f t="shared" si="33"/>
        <v>low</v>
      </c>
      <c r="U404" s="1">
        <f t="shared" si="34"/>
        <v>2743.75</v>
      </c>
    </row>
    <row r="405" spans="1:21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30"/>
        <v>1117.7530000000002</v>
      </c>
      <c r="Q405" s="1">
        <f t="shared" si="31"/>
        <v>10059.777</v>
      </c>
      <c r="R405" s="1" t="str">
        <f t="shared" si="32"/>
        <v>low</v>
      </c>
      <c r="S405" s="1" t="str" cm="1">
        <f t="array" ref="S405">_xlfn.IFS(L405&gt;5,"high",L405=5,"medium",L405&lt;5,"low")</f>
        <v>low</v>
      </c>
      <c r="T405" s="10" t="str">
        <f t="shared" si="33"/>
        <v>low</v>
      </c>
      <c r="U405" s="1">
        <f t="shared" si="34"/>
        <v>12419.48</v>
      </c>
    </row>
    <row r="406" spans="1:21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30"/>
        <v>253.458</v>
      </c>
      <c r="Q406" s="1">
        <f t="shared" si="31"/>
        <v>4815.7020000000002</v>
      </c>
      <c r="R406" s="1" t="str">
        <f t="shared" si="32"/>
        <v>low</v>
      </c>
      <c r="S406" s="1" t="str" cm="1">
        <f t="array" ref="S406">_xlfn.IFS(L406&gt;5,"high",L406=5,"medium",L406&lt;5,"low")</f>
        <v>low</v>
      </c>
      <c r="T406" s="10" t="str">
        <f t="shared" si="33"/>
        <v>low</v>
      </c>
      <c r="U406" s="1">
        <f t="shared" si="34"/>
        <v>5335.96</v>
      </c>
    </row>
    <row r="407" spans="1:21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30"/>
        <v>0</v>
      </c>
      <c r="Q407" s="1">
        <f t="shared" si="31"/>
        <v>2044.41</v>
      </c>
      <c r="R407" s="1" t="str">
        <f t="shared" si="32"/>
        <v>low</v>
      </c>
      <c r="S407" s="1" t="str" cm="1">
        <f t="array" ref="S407">_xlfn.IFS(L407&gt;5,"high",L407=5,"medium",L407&lt;5,"low")</f>
        <v>low</v>
      </c>
      <c r="T407" s="10" t="str">
        <f t="shared" si="33"/>
        <v>low</v>
      </c>
      <c r="U407" s="1">
        <f t="shared" si="34"/>
        <v>2044.41</v>
      </c>
    </row>
    <row r="408" spans="1:21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30"/>
        <v>4631.8460000000005</v>
      </c>
      <c r="Q408" s="1">
        <f t="shared" si="31"/>
        <v>18527.383999999998</v>
      </c>
      <c r="R408" s="1" t="str">
        <f t="shared" si="32"/>
        <v>high</v>
      </c>
      <c r="S408" s="1" t="str" cm="1">
        <f t="array" ref="S408">_xlfn.IFS(L408&gt;5,"high",L408=5,"medium",L408&lt;5,"low")</f>
        <v>high</v>
      </c>
      <c r="T408" s="10" t="str">
        <f t="shared" si="33"/>
        <v>high</v>
      </c>
      <c r="U408" s="1">
        <f t="shared" si="34"/>
        <v>28949.040000000001</v>
      </c>
    </row>
    <row r="409" spans="1:21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30"/>
        <v>668.98</v>
      </c>
      <c r="Q409" s="1">
        <f t="shared" si="31"/>
        <v>2675.92</v>
      </c>
      <c r="R409" s="1" t="str">
        <f t="shared" si="32"/>
        <v>low</v>
      </c>
      <c r="S409" s="1" t="str" cm="1">
        <f t="array" ref="S409">_xlfn.IFS(L409&gt;5,"high",L409=5,"medium",L409&lt;5,"low")</f>
        <v>low</v>
      </c>
      <c r="T409" s="10" t="str">
        <f t="shared" si="33"/>
        <v>low</v>
      </c>
      <c r="U409" s="1">
        <f t="shared" si="34"/>
        <v>4181.12</v>
      </c>
    </row>
    <row r="410" spans="1:21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30"/>
        <v>642.745</v>
      </c>
      <c r="Q410" s="1">
        <f t="shared" si="31"/>
        <v>5784.7049999999999</v>
      </c>
      <c r="R410" s="1" t="str">
        <f t="shared" si="32"/>
        <v>high</v>
      </c>
      <c r="S410" s="1" t="str" cm="1">
        <f t="array" ref="S410">_xlfn.IFS(L410&gt;5,"high",L410=5,"medium",L410&lt;5,"low")</f>
        <v>high</v>
      </c>
      <c r="T410" s="10" t="str">
        <f t="shared" si="33"/>
        <v>high</v>
      </c>
      <c r="U410" s="1">
        <f t="shared" si="34"/>
        <v>7141.6100000000006</v>
      </c>
    </row>
    <row r="411" spans="1:21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30"/>
        <v>323.69600000000003</v>
      </c>
      <c r="Q411" s="1">
        <f t="shared" si="31"/>
        <v>6150.2240000000002</v>
      </c>
      <c r="R411" s="1" t="str">
        <f t="shared" si="32"/>
        <v>low</v>
      </c>
      <c r="S411" s="1" t="str" cm="1">
        <f t="array" ref="S411">_xlfn.IFS(L411&gt;5,"high",L411=5,"medium",L411&lt;5,"low")</f>
        <v>low</v>
      </c>
      <c r="T411" s="10" t="str">
        <f t="shared" si="33"/>
        <v>low</v>
      </c>
      <c r="U411" s="1">
        <f t="shared" si="34"/>
        <v>6814.6500000000005</v>
      </c>
    </row>
    <row r="412" spans="1:21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30"/>
        <v>308.61500000000001</v>
      </c>
      <c r="Q412" s="1">
        <f t="shared" si="31"/>
        <v>5863.6850000000004</v>
      </c>
      <c r="R412" s="1" t="str">
        <f t="shared" si="32"/>
        <v>low</v>
      </c>
      <c r="S412" s="1" t="str" cm="1">
        <f t="array" ref="S412">_xlfn.IFS(L412&gt;5,"high",L412=5,"medium",L412&lt;5,"low")</f>
        <v>low</v>
      </c>
      <c r="T412" s="10" t="str">
        <f t="shared" si="33"/>
        <v>low</v>
      </c>
      <c r="U412" s="1">
        <f t="shared" si="34"/>
        <v>6497.16</v>
      </c>
    </row>
    <row r="413" spans="1:21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30"/>
        <v>1261.4444999999998</v>
      </c>
      <c r="Q413" s="1">
        <f t="shared" si="31"/>
        <v>7148.1854999999996</v>
      </c>
      <c r="R413" s="1" t="str">
        <f t="shared" si="32"/>
        <v>high</v>
      </c>
      <c r="S413" s="1" t="str" cm="1">
        <f t="array" ref="S413">_xlfn.IFS(L413&gt;5,"high",L413=5,"medium",L413&lt;5,"low")</f>
        <v>high</v>
      </c>
      <c r="T413" s="10" t="str">
        <f t="shared" si="33"/>
        <v>high</v>
      </c>
      <c r="U413" s="1">
        <f t="shared" si="34"/>
        <v>9893.68</v>
      </c>
    </row>
    <row r="414" spans="1:21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30"/>
        <v>0</v>
      </c>
      <c r="Q414" s="1">
        <f t="shared" si="31"/>
        <v>10380.719999999999</v>
      </c>
      <c r="R414" s="1" t="str">
        <f t="shared" si="32"/>
        <v>high</v>
      </c>
      <c r="S414" s="1" t="str" cm="1">
        <f t="array" ref="S414">_xlfn.IFS(L414&gt;5,"high",L414=5,"medium",L414&lt;5,"low")</f>
        <v>high</v>
      </c>
      <c r="T414" s="10" t="str">
        <f t="shared" si="33"/>
        <v>high</v>
      </c>
      <c r="U414" s="1">
        <f t="shared" si="34"/>
        <v>10380.719999999999</v>
      </c>
    </row>
    <row r="415" spans="1:21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30"/>
        <v>57.935500000000005</v>
      </c>
      <c r="Q415" s="1">
        <f t="shared" si="31"/>
        <v>1100.7745</v>
      </c>
      <c r="R415" s="1" t="str">
        <f t="shared" si="32"/>
        <v>low</v>
      </c>
      <c r="S415" s="1" t="str" cm="1">
        <f t="array" ref="S415">_xlfn.IFS(L415&gt;5,"high",L415=5,"medium",L415&lt;5,"low")</f>
        <v>low</v>
      </c>
      <c r="T415" s="10" t="str">
        <f t="shared" si="33"/>
        <v>low</v>
      </c>
      <c r="U415" s="1">
        <f t="shared" si="34"/>
        <v>1219.7</v>
      </c>
    </row>
    <row r="416" spans="1:21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30"/>
        <v>998.50200000000007</v>
      </c>
      <c r="Q416" s="1">
        <f t="shared" si="31"/>
        <v>3994.0080000000003</v>
      </c>
      <c r="R416" s="1" t="str">
        <f t="shared" si="32"/>
        <v>low</v>
      </c>
      <c r="S416" s="1" t="str" cm="1">
        <f t="array" ref="S416">_xlfn.IFS(L416&gt;5,"high",L416=5,"medium",L416&lt;5,"low")</f>
        <v>low</v>
      </c>
      <c r="T416" s="10" t="str">
        <f t="shared" si="33"/>
        <v>low</v>
      </c>
      <c r="U416" s="1">
        <f t="shared" si="34"/>
        <v>6240.64</v>
      </c>
    </row>
    <row r="417" spans="1:21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30"/>
        <v>0</v>
      </c>
      <c r="Q417" s="1">
        <f t="shared" si="31"/>
        <v>21278.560000000001</v>
      </c>
      <c r="R417" s="1" t="str">
        <f t="shared" si="32"/>
        <v>high</v>
      </c>
      <c r="S417" s="1" t="str" cm="1">
        <f t="array" ref="S417">_xlfn.IFS(L417&gt;5,"high",L417=5,"medium",L417&lt;5,"low")</f>
        <v>high</v>
      </c>
      <c r="T417" s="10" t="str">
        <f t="shared" si="33"/>
        <v>high</v>
      </c>
      <c r="U417" s="1">
        <f t="shared" si="34"/>
        <v>21278.560000000001</v>
      </c>
    </row>
    <row r="418" spans="1:21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30"/>
        <v>0</v>
      </c>
      <c r="Q418" s="1">
        <f t="shared" si="31"/>
        <v>3354.81</v>
      </c>
      <c r="R418" s="1" t="str">
        <f t="shared" si="32"/>
        <v>low</v>
      </c>
      <c r="S418" s="1" t="str" cm="1">
        <f t="array" ref="S418">_xlfn.IFS(L418&gt;5,"high",L418=5,"medium",L418&lt;5,"low")</f>
        <v>low</v>
      </c>
      <c r="T418" s="10" t="str">
        <f t="shared" si="33"/>
        <v>low</v>
      </c>
      <c r="U418" s="1">
        <f t="shared" si="34"/>
        <v>3354.81</v>
      </c>
    </row>
    <row r="419" spans="1:21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30"/>
        <v>2812.01</v>
      </c>
      <c r="Q419" s="1">
        <f t="shared" si="31"/>
        <v>25308.089999999997</v>
      </c>
      <c r="R419" s="1" t="str">
        <f t="shared" si="32"/>
        <v>high</v>
      </c>
      <c r="S419" s="1" t="str" cm="1">
        <f t="array" ref="S419">_xlfn.IFS(L419&gt;5,"high",L419=5,"medium",L419&lt;5,"low")</f>
        <v>high</v>
      </c>
      <c r="T419" s="10" t="str">
        <f t="shared" si="33"/>
        <v>high</v>
      </c>
      <c r="U419" s="1">
        <f t="shared" si="34"/>
        <v>31244.560000000001</v>
      </c>
    </row>
    <row r="420" spans="1:21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30"/>
        <v>750.70150000000012</v>
      </c>
      <c r="Q420" s="1">
        <f t="shared" si="31"/>
        <v>14263.3285</v>
      </c>
      <c r="R420" s="1" t="str">
        <f t="shared" si="32"/>
        <v>high</v>
      </c>
      <c r="S420" s="1" t="str" cm="1">
        <f t="array" ref="S420">_xlfn.IFS(L420&gt;5,"high",L420=5,"medium",L420&lt;5,"low")</f>
        <v>high</v>
      </c>
      <c r="T420" s="10" t="str">
        <f t="shared" si="33"/>
        <v>high</v>
      </c>
      <c r="U420" s="1">
        <f t="shared" si="34"/>
        <v>15804.24</v>
      </c>
    </row>
    <row r="421" spans="1:21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30"/>
        <v>73.219000000000008</v>
      </c>
      <c r="Q421" s="1">
        <f t="shared" si="31"/>
        <v>658.971</v>
      </c>
      <c r="R421" s="1" t="str">
        <f t="shared" si="32"/>
        <v>low</v>
      </c>
      <c r="S421" s="1" t="str" cm="1">
        <f t="array" ref="S421">_xlfn.IFS(L421&gt;5,"high",L421=5,"medium",L421&lt;5,"low")</f>
        <v>low</v>
      </c>
      <c r="T421" s="10" t="str">
        <f t="shared" si="33"/>
        <v>low</v>
      </c>
      <c r="U421" s="1">
        <f t="shared" si="34"/>
        <v>813.54</v>
      </c>
    </row>
    <row r="422" spans="1:21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30"/>
        <v>63.680499999999995</v>
      </c>
      <c r="Q422" s="1">
        <f t="shared" si="31"/>
        <v>1209.9295</v>
      </c>
      <c r="R422" s="1" t="str">
        <f t="shared" si="32"/>
        <v>low</v>
      </c>
      <c r="S422" s="1" t="str" cm="1">
        <f t="array" ref="S422">_xlfn.IFS(L422&gt;5,"high",L422=5,"medium",L422&lt;5,"low")</f>
        <v>low</v>
      </c>
      <c r="T422" s="10" t="str">
        <f t="shared" si="33"/>
        <v>low</v>
      </c>
      <c r="U422" s="1">
        <f t="shared" si="34"/>
        <v>1340.64</v>
      </c>
    </row>
    <row r="423" spans="1:21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30"/>
        <v>985.55700000000002</v>
      </c>
      <c r="Q423" s="1">
        <f t="shared" si="31"/>
        <v>5584.8230000000003</v>
      </c>
      <c r="R423" s="1" t="str">
        <f t="shared" si="32"/>
        <v>high</v>
      </c>
      <c r="S423" s="1" t="str" cm="1">
        <f t="array" ref="S423">_xlfn.IFS(L423&gt;5,"high",L423=5,"medium",L423&lt;5,"low")</f>
        <v>high</v>
      </c>
      <c r="T423" s="10" t="str">
        <f t="shared" si="33"/>
        <v>high</v>
      </c>
      <c r="U423" s="1">
        <f t="shared" si="34"/>
        <v>7729.86</v>
      </c>
    </row>
    <row r="424" spans="1:21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30"/>
        <v>3029.643</v>
      </c>
      <c r="Q424" s="1">
        <f t="shared" si="31"/>
        <v>27266.787</v>
      </c>
      <c r="R424" s="1" t="str">
        <f t="shared" si="32"/>
        <v>high</v>
      </c>
      <c r="S424" s="1" t="str" cm="1">
        <f t="array" ref="S424">_xlfn.IFS(L424&gt;5,"high",L424=5,"medium",L424&lt;5,"low")</f>
        <v>high</v>
      </c>
      <c r="T424" s="10" t="str">
        <f t="shared" si="33"/>
        <v>high</v>
      </c>
      <c r="U424" s="1">
        <f t="shared" si="34"/>
        <v>33662.700000000004</v>
      </c>
    </row>
    <row r="425" spans="1:21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30"/>
        <v>1558.346</v>
      </c>
      <c r="Q425" s="1">
        <f t="shared" si="31"/>
        <v>14025.114</v>
      </c>
      <c r="R425" s="1" t="str">
        <f t="shared" si="32"/>
        <v>high</v>
      </c>
      <c r="S425" s="1" t="str" cm="1">
        <f t="array" ref="S425">_xlfn.IFS(L425&gt;5,"high",L425=5,"medium",L425&lt;5,"low")</f>
        <v>high</v>
      </c>
      <c r="T425" s="10" t="str">
        <f t="shared" si="33"/>
        <v>high</v>
      </c>
      <c r="U425" s="1">
        <f t="shared" si="34"/>
        <v>17314.96</v>
      </c>
    </row>
    <row r="426" spans="1:21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30"/>
        <v>1531.366</v>
      </c>
      <c r="Q426" s="1">
        <f t="shared" si="31"/>
        <v>6125.4639999999999</v>
      </c>
      <c r="R426" s="1" t="str">
        <f t="shared" si="32"/>
        <v>high</v>
      </c>
      <c r="S426" s="1" t="str" cm="1">
        <f t="array" ref="S426">_xlfn.IFS(L426&gt;5,"high",L426=5,"medium",L426&lt;5,"low")</f>
        <v>high</v>
      </c>
      <c r="T426" s="10" t="str">
        <f t="shared" si="33"/>
        <v>high</v>
      </c>
      <c r="U426" s="1">
        <f t="shared" si="34"/>
        <v>9571.0400000000009</v>
      </c>
    </row>
    <row r="427" spans="1:21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30"/>
        <v>1062.6780000000001</v>
      </c>
      <c r="Q427" s="1">
        <f t="shared" si="31"/>
        <v>9564.1020000000008</v>
      </c>
      <c r="R427" s="1" t="str">
        <f t="shared" si="32"/>
        <v>high</v>
      </c>
      <c r="S427" s="1" t="str" cm="1">
        <f t="array" ref="S427">_xlfn.IFS(L427&gt;5,"high",L427=5,"medium",L427&lt;5,"low")</f>
        <v>high</v>
      </c>
      <c r="T427" s="10" t="str">
        <f t="shared" si="33"/>
        <v>high</v>
      </c>
      <c r="U427" s="1">
        <f t="shared" si="34"/>
        <v>11807.529999999999</v>
      </c>
    </row>
    <row r="428" spans="1:21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30"/>
        <v>1049.3370000000002</v>
      </c>
      <c r="Q428" s="1">
        <f t="shared" si="31"/>
        <v>19937.403000000002</v>
      </c>
      <c r="R428" s="1" t="str">
        <f t="shared" si="32"/>
        <v>high</v>
      </c>
      <c r="S428" s="1" t="str" cm="1">
        <f t="array" ref="S428">_xlfn.IFS(L428&gt;5,"high",L428=5,"medium",L428&lt;5,"low")</f>
        <v>high</v>
      </c>
      <c r="T428" s="10" t="str">
        <f t="shared" si="33"/>
        <v>high</v>
      </c>
      <c r="U428" s="1">
        <f t="shared" si="34"/>
        <v>22091.31</v>
      </c>
    </row>
    <row r="429" spans="1:21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30"/>
        <v>852.43600000000015</v>
      </c>
      <c r="Q429" s="1">
        <f t="shared" si="31"/>
        <v>3409.7440000000001</v>
      </c>
      <c r="R429" s="1" t="str">
        <f t="shared" si="32"/>
        <v>low</v>
      </c>
      <c r="S429" s="1" t="str" cm="1">
        <f t="array" ref="S429">_xlfn.IFS(L429&gt;5,"high",L429=5,"medium",L429&lt;5,"low")</f>
        <v>low</v>
      </c>
      <c r="T429" s="10" t="str">
        <f t="shared" si="33"/>
        <v>low</v>
      </c>
      <c r="U429" s="1">
        <f t="shared" si="34"/>
        <v>5327.72</v>
      </c>
    </row>
    <row r="430" spans="1:21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30"/>
        <v>200.49900000000002</v>
      </c>
      <c r="Q430" s="1">
        <f t="shared" si="31"/>
        <v>1804.491</v>
      </c>
      <c r="R430" s="1" t="str">
        <f t="shared" si="32"/>
        <v>low</v>
      </c>
      <c r="S430" s="1" t="str" cm="1">
        <f t="array" ref="S430">_xlfn.IFS(L430&gt;5,"high",L430=5,"medium",L430&lt;5,"low")</f>
        <v>low</v>
      </c>
      <c r="T430" s="10" t="str">
        <f t="shared" si="33"/>
        <v>low</v>
      </c>
      <c r="U430" s="1">
        <f t="shared" si="34"/>
        <v>2227.77</v>
      </c>
    </row>
    <row r="431" spans="1:21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30"/>
        <v>2816.33</v>
      </c>
      <c r="Q431" s="1">
        <f t="shared" si="31"/>
        <v>25346.97</v>
      </c>
      <c r="R431" s="1" t="str">
        <f t="shared" si="32"/>
        <v>high</v>
      </c>
      <c r="S431" s="1" t="str" cm="1">
        <f t="array" ref="S431">_xlfn.IFS(L431&gt;5,"high",L431=5,"medium",L431&lt;5,"low")</f>
        <v>high</v>
      </c>
      <c r="T431" s="10" t="str">
        <f t="shared" si="33"/>
        <v>high</v>
      </c>
      <c r="U431" s="1">
        <f t="shared" si="34"/>
        <v>31292.560000000001</v>
      </c>
    </row>
    <row r="432" spans="1:21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30"/>
        <v>1719.2384999999999</v>
      </c>
      <c r="Q432" s="1">
        <f t="shared" si="31"/>
        <v>9742.3515000000007</v>
      </c>
      <c r="R432" s="1" t="str">
        <f t="shared" si="32"/>
        <v>high</v>
      </c>
      <c r="S432" s="1" t="str" cm="1">
        <f t="array" ref="S432">_xlfn.IFS(L432&gt;5,"high",L432=5,"medium",L432&lt;5,"low")</f>
        <v>high</v>
      </c>
      <c r="T432" s="10" t="str">
        <f t="shared" si="33"/>
        <v>high</v>
      </c>
      <c r="U432" s="1">
        <f t="shared" si="34"/>
        <v>13484.22</v>
      </c>
    </row>
    <row r="433" spans="1:21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30"/>
        <v>544.64400000000001</v>
      </c>
      <c r="Q433" s="1">
        <f t="shared" si="31"/>
        <v>4901.7959999999994</v>
      </c>
      <c r="R433" s="1" t="str">
        <f t="shared" si="32"/>
        <v>high</v>
      </c>
      <c r="S433" s="1" t="str" cm="1">
        <f t="array" ref="S433">_xlfn.IFS(L433&gt;5,"high",L433=5,"medium",L433&lt;5,"low")</f>
        <v>high</v>
      </c>
      <c r="T433" s="10" t="str">
        <f t="shared" si="33"/>
        <v>high</v>
      </c>
      <c r="U433" s="1">
        <f t="shared" si="34"/>
        <v>6051.5999999999995</v>
      </c>
    </row>
    <row r="434" spans="1:21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30"/>
        <v>0</v>
      </c>
      <c r="Q434" s="1">
        <f t="shared" si="31"/>
        <v>14362</v>
      </c>
      <c r="R434" s="1" t="str">
        <f t="shared" si="32"/>
        <v>low</v>
      </c>
      <c r="S434" s="1" t="str" cm="1">
        <f t="array" ref="S434">_xlfn.IFS(L434&gt;5,"high",L434=5,"medium",L434&lt;5,"low")</f>
        <v>low</v>
      </c>
      <c r="T434" s="10" t="str">
        <f t="shared" si="33"/>
        <v>low</v>
      </c>
      <c r="U434" s="1">
        <f t="shared" si="34"/>
        <v>14362</v>
      </c>
    </row>
    <row r="435" spans="1:21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30"/>
        <v>559.82000000000005</v>
      </c>
      <c r="Q435" s="1">
        <f t="shared" si="31"/>
        <v>2239.2799999999997</v>
      </c>
      <c r="R435" s="1" t="str">
        <f t="shared" si="32"/>
        <v>high</v>
      </c>
      <c r="S435" s="1" t="str" cm="1">
        <f t="array" ref="S435">_xlfn.IFS(L435&gt;5,"high",L435=5,"medium",L435&lt;5,"low")</f>
        <v>high</v>
      </c>
      <c r="T435" s="10" t="str">
        <f t="shared" si="33"/>
        <v>high</v>
      </c>
      <c r="U435" s="1">
        <f t="shared" si="34"/>
        <v>3498.88</v>
      </c>
    </row>
    <row r="436" spans="1:21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30"/>
        <v>0</v>
      </c>
      <c r="Q436" s="1">
        <f t="shared" si="31"/>
        <v>10934.34</v>
      </c>
      <c r="R436" s="1" t="str">
        <f t="shared" si="32"/>
        <v>low</v>
      </c>
      <c r="S436" s="1" t="str" cm="1">
        <f t="array" ref="S436">_xlfn.IFS(L436&gt;5,"high",L436=5,"medium",L436&lt;5,"low")</f>
        <v>low</v>
      </c>
      <c r="T436" s="10" t="str">
        <f t="shared" si="33"/>
        <v>low</v>
      </c>
      <c r="U436" s="1">
        <f t="shared" si="34"/>
        <v>10934.34</v>
      </c>
    </row>
    <row r="437" spans="1:21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30"/>
        <v>1913.6540000000002</v>
      </c>
      <c r="Q437" s="1">
        <f t="shared" si="31"/>
        <v>7654.616</v>
      </c>
      <c r="R437" s="1" t="str">
        <f t="shared" si="32"/>
        <v>low</v>
      </c>
      <c r="S437" s="1" t="str" cm="1">
        <f t="array" ref="S437">_xlfn.IFS(L437&gt;5,"high",L437=5,"medium",L437&lt;5,"low")</f>
        <v>low</v>
      </c>
      <c r="T437" s="10" t="str">
        <f t="shared" si="33"/>
        <v>low</v>
      </c>
      <c r="U437" s="1">
        <f t="shared" si="34"/>
        <v>11960.34</v>
      </c>
    </row>
    <row r="438" spans="1:21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30"/>
        <v>2903.5934999999999</v>
      </c>
      <c r="Q438" s="1">
        <f t="shared" si="31"/>
        <v>16453.696500000002</v>
      </c>
      <c r="R438" s="1" t="str">
        <f t="shared" si="32"/>
        <v>high</v>
      </c>
      <c r="S438" s="1" t="str" cm="1">
        <f t="array" ref="S438">_xlfn.IFS(L438&gt;5,"high",L438=5,"medium",L438&lt;5,"low")</f>
        <v>high</v>
      </c>
      <c r="T438" s="10" t="str">
        <f t="shared" si="33"/>
        <v>high</v>
      </c>
      <c r="U438" s="1">
        <f t="shared" si="34"/>
        <v>22773.279999999999</v>
      </c>
    </row>
    <row r="439" spans="1:21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30"/>
        <v>1402.299</v>
      </c>
      <c r="Q439" s="1">
        <f t="shared" si="31"/>
        <v>12620.690999999999</v>
      </c>
      <c r="R439" s="1" t="str">
        <f t="shared" si="32"/>
        <v>high</v>
      </c>
      <c r="S439" s="1" t="str" cm="1">
        <f t="array" ref="S439">_xlfn.IFS(L439&gt;5,"high",L439=5,"medium",L439&lt;5,"low")</f>
        <v>medium</v>
      </c>
      <c r="T439" s="10" t="str">
        <f t="shared" si="33"/>
        <v>medium</v>
      </c>
      <c r="U439" s="1">
        <f t="shared" si="34"/>
        <v>15581.099999999999</v>
      </c>
    </row>
    <row r="440" spans="1:21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30"/>
        <v>391.12700000000001</v>
      </c>
      <c r="Q440" s="1">
        <f t="shared" si="31"/>
        <v>3520.143</v>
      </c>
      <c r="R440" s="1" t="str">
        <f t="shared" si="32"/>
        <v>low</v>
      </c>
      <c r="S440" s="1" t="str" cm="1">
        <f t="array" ref="S440">_xlfn.IFS(L440&gt;5,"high",L440=5,"medium",L440&lt;5,"low")</f>
        <v>low</v>
      </c>
      <c r="T440" s="10" t="str">
        <f t="shared" si="33"/>
        <v>low</v>
      </c>
      <c r="U440" s="1">
        <f t="shared" si="34"/>
        <v>4345.8599999999997</v>
      </c>
    </row>
    <row r="441" spans="1:21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30"/>
        <v>339.75600000000003</v>
      </c>
      <c r="Q441" s="1">
        <f t="shared" si="31"/>
        <v>3057.8040000000001</v>
      </c>
      <c r="R441" s="1" t="str">
        <f t="shared" si="32"/>
        <v>low</v>
      </c>
      <c r="S441" s="1" t="str" cm="1">
        <f t="array" ref="S441">_xlfn.IFS(L441&gt;5,"high",L441=5,"medium",L441&lt;5,"low")</f>
        <v>low</v>
      </c>
      <c r="T441" s="10" t="str">
        <f t="shared" si="33"/>
        <v>low</v>
      </c>
      <c r="U441" s="1">
        <f t="shared" si="34"/>
        <v>3775.07</v>
      </c>
    </row>
    <row r="442" spans="1:21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30"/>
        <v>1050.912</v>
      </c>
      <c r="Q442" s="1">
        <f t="shared" si="31"/>
        <v>4203.6480000000001</v>
      </c>
      <c r="R442" s="1" t="str">
        <f t="shared" si="32"/>
        <v>low</v>
      </c>
      <c r="S442" s="1" t="str" cm="1">
        <f t="array" ref="S442">_xlfn.IFS(L442&gt;5,"high",L442=5,"medium",L442&lt;5,"low")</f>
        <v>low</v>
      </c>
      <c r="T442" s="10" t="str">
        <f t="shared" si="33"/>
        <v>low</v>
      </c>
      <c r="U442" s="1">
        <f t="shared" si="34"/>
        <v>6568.2000000000007</v>
      </c>
    </row>
    <row r="443" spans="1:21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30"/>
        <v>2405.4569999999999</v>
      </c>
      <c r="Q443" s="1">
        <f t="shared" si="31"/>
        <v>21649.113000000001</v>
      </c>
      <c r="R443" s="1" t="str">
        <f t="shared" si="32"/>
        <v>high</v>
      </c>
      <c r="S443" s="1" t="str" cm="1">
        <f t="array" ref="S443">_xlfn.IFS(L443&gt;5,"high",L443=5,"medium",L443&lt;5,"low")</f>
        <v>high</v>
      </c>
      <c r="T443" s="10" t="str">
        <f t="shared" si="33"/>
        <v>high</v>
      </c>
      <c r="U443" s="1">
        <f t="shared" si="34"/>
        <v>26727.3</v>
      </c>
    </row>
    <row r="444" spans="1:21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30"/>
        <v>0</v>
      </c>
      <c r="Q444" s="1">
        <f t="shared" si="31"/>
        <v>18539.05</v>
      </c>
      <c r="R444" s="1" t="str">
        <f t="shared" si="32"/>
        <v>high</v>
      </c>
      <c r="S444" s="1" t="str" cm="1">
        <f t="array" ref="S444">_xlfn.IFS(L444&gt;5,"high",L444=5,"medium",L444&lt;5,"low")</f>
        <v>medium</v>
      </c>
      <c r="T444" s="10" t="str">
        <f t="shared" si="33"/>
        <v>medium</v>
      </c>
      <c r="U444" s="1">
        <f t="shared" si="34"/>
        <v>18539.05</v>
      </c>
    </row>
    <row r="445" spans="1:21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30"/>
        <v>702.79899999999998</v>
      </c>
      <c r="Q445" s="1">
        <f t="shared" si="31"/>
        <v>6325.1909999999998</v>
      </c>
      <c r="R445" s="1" t="str">
        <f t="shared" si="32"/>
        <v>low</v>
      </c>
      <c r="S445" s="1" t="str" cm="1">
        <f t="array" ref="S445">_xlfn.IFS(L445&gt;5,"high",L445=5,"medium",L445&lt;5,"low")</f>
        <v>low</v>
      </c>
      <c r="T445" s="10" t="str">
        <f t="shared" si="33"/>
        <v>low</v>
      </c>
      <c r="U445" s="1">
        <f t="shared" si="34"/>
        <v>7808.88</v>
      </c>
    </row>
    <row r="446" spans="1:21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30"/>
        <v>2996.8724999999999</v>
      </c>
      <c r="Q446" s="1">
        <f t="shared" si="31"/>
        <v>16982.2775</v>
      </c>
      <c r="R446" s="1" t="str">
        <f t="shared" si="32"/>
        <v>high</v>
      </c>
      <c r="S446" s="1" t="str" cm="1">
        <f t="array" ref="S446">_xlfn.IFS(L446&gt;5,"high",L446=5,"medium",L446&lt;5,"low")</f>
        <v>high</v>
      </c>
      <c r="T446" s="10" t="str">
        <f t="shared" si="33"/>
        <v>high</v>
      </c>
      <c r="U446" s="1">
        <f t="shared" si="34"/>
        <v>23504.880000000001</v>
      </c>
    </row>
    <row r="447" spans="1:21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30"/>
        <v>0</v>
      </c>
      <c r="Q447" s="1">
        <f t="shared" si="31"/>
        <v>2633.24</v>
      </c>
      <c r="R447" s="1" t="str">
        <f t="shared" si="32"/>
        <v>low</v>
      </c>
      <c r="S447" s="1" t="str" cm="1">
        <f t="array" ref="S447">_xlfn.IFS(L447&gt;5,"high",L447=5,"medium",L447&lt;5,"low")</f>
        <v>low</v>
      </c>
      <c r="T447" s="10" t="str">
        <f t="shared" si="33"/>
        <v>low</v>
      </c>
      <c r="U447" s="1">
        <f t="shared" si="34"/>
        <v>2633.24</v>
      </c>
    </row>
    <row r="448" spans="1:21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30"/>
        <v>1393.6360000000002</v>
      </c>
      <c r="Q448" s="1">
        <f t="shared" si="31"/>
        <v>12542.724</v>
      </c>
      <c r="R448" s="1" t="str">
        <f t="shared" si="32"/>
        <v>low</v>
      </c>
      <c r="S448" s="1" t="str" cm="1">
        <f t="array" ref="S448">_xlfn.IFS(L448&gt;5,"high",L448=5,"medium",L448&lt;5,"low")</f>
        <v>low</v>
      </c>
      <c r="T448" s="10" t="str">
        <f t="shared" si="33"/>
        <v>low</v>
      </c>
      <c r="U448" s="1">
        <f t="shared" si="34"/>
        <v>15484.84</v>
      </c>
    </row>
    <row r="449" spans="1:21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30"/>
        <v>1618.0040000000001</v>
      </c>
      <c r="Q449" s="1">
        <f t="shared" si="31"/>
        <v>14562.036</v>
      </c>
      <c r="R449" s="1" t="str">
        <f t="shared" si="32"/>
        <v>high</v>
      </c>
      <c r="S449" s="1" t="str" cm="1">
        <f t="array" ref="S449">_xlfn.IFS(L449&gt;5,"high",L449=5,"medium",L449&lt;5,"low")</f>
        <v>high</v>
      </c>
      <c r="T449" s="10" t="str">
        <f t="shared" si="33"/>
        <v>high</v>
      </c>
      <c r="U449" s="1">
        <f t="shared" si="34"/>
        <v>17977.82</v>
      </c>
    </row>
    <row r="450" spans="1:21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30"/>
        <v>709.26450000000011</v>
      </c>
      <c r="Q450" s="1">
        <f t="shared" si="31"/>
        <v>13476.025500000002</v>
      </c>
      <c r="R450" s="1" t="str">
        <f t="shared" si="32"/>
        <v>low</v>
      </c>
      <c r="S450" s="1" t="str" cm="1">
        <f t="array" ref="S450">_xlfn.IFS(L450&gt;5,"high",L450=5,"medium",L450&lt;5,"low")</f>
        <v>low</v>
      </c>
      <c r="T450" s="10" t="str">
        <f t="shared" si="33"/>
        <v>low</v>
      </c>
      <c r="U450" s="1">
        <f t="shared" si="34"/>
        <v>14931.88</v>
      </c>
    </row>
    <row r="451" spans="1:21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35">O451*N451%</f>
        <v>3083.36</v>
      </c>
      <c r="Q451" s="1">
        <f t="shared" ref="Q451:Q501" si="36">O451-P451</f>
        <v>12333.439999999999</v>
      </c>
      <c r="R451" s="1" t="str">
        <f t="shared" ref="R451:R501" si="37">IF(L451&gt;=5,"high","low")</f>
        <v>high</v>
      </c>
      <c r="S451" s="1" t="str" cm="1">
        <f t="array" ref="S451">_xlfn.IFS(L451&gt;5,"high",L451=5,"medium",L451&lt;5,"low")</f>
        <v>high</v>
      </c>
      <c r="T451" s="10" t="str">
        <f t="shared" ref="T451:T501" si="38">IF(L451&gt;5,"high",IF(L451=5,"medium","low"))</f>
        <v>high</v>
      </c>
      <c r="U451" s="1">
        <f t="shared" ref="U451:U501" si="39">L451*M451</f>
        <v>19271</v>
      </c>
    </row>
    <row r="452" spans="1:21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35"/>
        <v>0</v>
      </c>
      <c r="Q452" s="1">
        <f t="shared" si="36"/>
        <v>9330.09</v>
      </c>
      <c r="R452" s="1" t="str">
        <f t="shared" si="37"/>
        <v>high</v>
      </c>
      <c r="S452" s="1" t="str" cm="1">
        <f t="array" ref="S452">_xlfn.IFS(L452&gt;5,"high",L452=5,"medium",L452&lt;5,"low")</f>
        <v>high</v>
      </c>
      <c r="T452" s="10" t="str">
        <f t="shared" si="38"/>
        <v>high</v>
      </c>
      <c r="U452" s="1">
        <f t="shared" si="39"/>
        <v>9330.09</v>
      </c>
    </row>
    <row r="453" spans="1:21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35"/>
        <v>74.792999999999992</v>
      </c>
      <c r="Q453" s="1">
        <f t="shared" si="36"/>
        <v>1421.067</v>
      </c>
      <c r="R453" s="1" t="str">
        <f t="shared" si="37"/>
        <v>low</v>
      </c>
      <c r="S453" s="1" t="str" cm="1">
        <f t="array" ref="S453">_xlfn.IFS(L453&gt;5,"high",L453=5,"medium",L453&lt;5,"low")</f>
        <v>low</v>
      </c>
      <c r="T453" s="10" t="str">
        <f t="shared" si="38"/>
        <v>low</v>
      </c>
      <c r="U453" s="1">
        <f t="shared" si="39"/>
        <v>1574.59</v>
      </c>
    </row>
    <row r="454" spans="1:21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35"/>
        <v>1736.0295000000001</v>
      </c>
      <c r="Q454" s="1">
        <f t="shared" si="36"/>
        <v>9837.5005000000001</v>
      </c>
      <c r="R454" s="1" t="str">
        <f t="shared" si="37"/>
        <v>high</v>
      </c>
      <c r="S454" s="1" t="str" cm="1">
        <f t="array" ref="S454">_xlfn.IFS(L454&gt;5,"high",L454=5,"medium",L454&lt;5,"low")</f>
        <v>high</v>
      </c>
      <c r="T454" s="10" t="str">
        <f t="shared" si="38"/>
        <v>high</v>
      </c>
      <c r="U454" s="1">
        <f t="shared" si="39"/>
        <v>13615.920000000002</v>
      </c>
    </row>
    <row r="455" spans="1:21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35"/>
        <v>4595.8460000000005</v>
      </c>
      <c r="Q455" s="1">
        <f t="shared" si="36"/>
        <v>18383.383999999998</v>
      </c>
      <c r="R455" s="1" t="str">
        <f t="shared" si="37"/>
        <v>high</v>
      </c>
      <c r="S455" s="1" t="str" cm="1">
        <f t="array" ref="S455">_xlfn.IFS(L455&gt;5,"high",L455=5,"medium",L455&lt;5,"low")</f>
        <v>high</v>
      </c>
      <c r="T455" s="10" t="str">
        <f t="shared" si="38"/>
        <v>high</v>
      </c>
      <c r="U455" s="1">
        <f t="shared" si="39"/>
        <v>28724.04</v>
      </c>
    </row>
    <row r="456" spans="1:21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35"/>
        <v>0</v>
      </c>
      <c r="Q456" s="1">
        <f t="shared" si="36"/>
        <v>2748.46</v>
      </c>
      <c r="R456" s="1" t="str">
        <f t="shared" si="37"/>
        <v>low</v>
      </c>
      <c r="S456" s="1" t="str" cm="1">
        <f t="array" ref="S456">_xlfn.IFS(L456&gt;5,"high",L456=5,"medium",L456&lt;5,"low")</f>
        <v>low</v>
      </c>
      <c r="T456" s="10" t="str">
        <f t="shared" si="38"/>
        <v>low</v>
      </c>
      <c r="U456" s="1">
        <f t="shared" si="39"/>
        <v>2748.46</v>
      </c>
    </row>
    <row r="457" spans="1:21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35"/>
        <v>643.12900000000002</v>
      </c>
      <c r="Q457" s="1">
        <f t="shared" si="36"/>
        <v>5788.1610000000001</v>
      </c>
      <c r="R457" s="1" t="str">
        <f t="shared" si="37"/>
        <v>low</v>
      </c>
      <c r="S457" s="1" t="str" cm="1">
        <f t="array" ref="S457">_xlfn.IFS(L457&gt;5,"high",L457=5,"medium",L457&lt;5,"low")</f>
        <v>low</v>
      </c>
      <c r="T457" s="10" t="str">
        <f t="shared" si="38"/>
        <v>low</v>
      </c>
      <c r="U457" s="1">
        <f t="shared" si="39"/>
        <v>7145.88</v>
      </c>
    </row>
    <row r="458" spans="1:21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35"/>
        <v>0</v>
      </c>
      <c r="Q458" s="1">
        <f t="shared" si="36"/>
        <v>7403.3</v>
      </c>
      <c r="R458" s="1" t="str">
        <f t="shared" si="37"/>
        <v>high</v>
      </c>
      <c r="S458" s="1" t="str" cm="1">
        <f t="array" ref="S458">_xlfn.IFS(L458&gt;5,"high",L458=5,"medium",L458&lt;5,"low")</f>
        <v>medium</v>
      </c>
      <c r="T458" s="10" t="str">
        <f t="shared" si="38"/>
        <v>medium</v>
      </c>
      <c r="U458" s="1">
        <f t="shared" si="39"/>
        <v>7403.3</v>
      </c>
    </row>
    <row r="459" spans="1:21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35"/>
        <v>2665.4750000000004</v>
      </c>
      <c r="Q459" s="1">
        <f t="shared" si="36"/>
        <v>23989.275000000001</v>
      </c>
      <c r="R459" s="1" t="str">
        <f t="shared" si="37"/>
        <v>high</v>
      </c>
      <c r="S459" s="1" t="str" cm="1">
        <f t="array" ref="S459">_xlfn.IFS(L459&gt;5,"high",L459=5,"medium",L459&lt;5,"low")</f>
        <v>high</v>
      </c>
      <c r="T459" s="10" t="str">
        <f t="shared" si="38"/>
        <v>high</v>
      </c>
      <c r="U459" s="1">
        <f t="shared" si="39"/>
        <v>29616.39</v>
      </c>
    </row>
    <row r="460" spans="1:21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35"/>
        <v>1246.0160000000001</v>
      </c>
      <c r="Q460" s="1">
        <f t="shared" si="36"/>
        <v>4984.0640000000003</v>
      </c>
      <c r="R460" s="1" t="str">
        <f t="shared" si="37"/>
        <v>low</v>
      </c>
      <c r="S460" s="1" t="str" cm="1">
        <f t="array" ref="S460">_xlfn.IFS(L460&gt;5,"high",L460=5,"medium",L460&lt;5,"low")</f>
        <v>low</v>
      </c>
      <c r="T460" s="10" t="str">
        <f t="shared" si="38"/>
        <v>low</v>
      </c>
      <c r="U460" s="1">
        <f t="shared" si="39"/>
        <v>7787.6</v>
      </c>
    </row>
    <row r="461" spans="1:21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35"/>
        <v>40.084000000000003</v>
      </c>
      <c r="Q461" s="1">
        <f t="shared" si="36"/>
        <v>360.75599999999997</v>
      </c>
      <c r="R461" s="1" t="str">
        <f t="shared" si="37"/>
        <v>low</v>
      </c>
      <c r="S461" s="1" t="str" cm="1">
        <f t="array" ref="S461">_xlfn.IFS(L461&gt;5,"high",L461=5,"medium",L461&lt;5,"low")</f>
        <v>low</v>
      </c>
      <c r="T461" s="10" t="str">
        <f t="shared" si="38"/>
        <v>low</v>
      </c>
      <c r="U461" s="1">
        <f t="shared" si="39"/>
        <v>445.38</v>
      </c>
    </row>
    <row r="462" spans="1:21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35"/>
        <v>402.54299999999995</v>
      </c>
      <c r="Q462" s="1">
        <f t="shared" si="36"/>
        <v>2281.0769999999998</v>
      </c>
      <c r="R462" s="1" t="str">
        <f t="shared" si="37"/>
        <v>low</v>
      </c>
      <c r="S462" s="1" t="str" cm="1">
        <f t="array" ref="S462">_xlfn.IFS(L462&gt;5,"high",L462=5,"medium",L462&lt;5,"low")</f>
        <v>low</v>
      </c>
      <c r="T462" s="10" t="str">
        <f t="shared" si="38"/>
        <v>low</v>
      </c>
      <c r="U462" s="1">
        <f t="shared" si="39"/>
        <v>3157.2</v>
      </c>
    </row>
    <row r="463" spans="1:21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35"/>
        <v>208.035</v>
      </c>
      <c r="Q463" s="1">
        <f t="shared" si="36"/>
        <v>1872.3149999999998</v>
      </c>
      <c r="R463" s="1" t="str">
        <f t="shared" si="37"/>
        <v>high</v>
      </c>
      <c r="S463" s="1" t="str" cm="1">
        <f t="array" ref="S463">_xlfn.IFS(L463&gt;5,"high",L463=5,"medium",L463&lt;5,"low")</f>
        <v>high</v>
      </c>
      <c r="T463" s="10" t="str">
        <f t="shared" si="38"/>
        <v>high</v>
      </c>
      <c r="U463" s="1">
        <f t="shared" si="39"/>
        <v>2311.5</v>
      </c>
    </row>
    <row r="464" spans="1:21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35"/>
        <v>1321.104</v>
      </c>
      <c r="Q464" s="1">
        <f t="shared" si="36"/>
        <v>7486.2560000000003</v>
      </c>
      <c r="R464" s="1" t="str">
        <f t="shared" si="37"/>
        <v>high</v>
      </c>
      <c r="S464" s="1" t="str" cm="1">
        <f t="array" ref="S464">_xlfn.IFS(L464&gt;5,"high",L464=5,"medium",L464&lt;5,"low")</f>
        <v>medium</v>
      </c>
      <c r="T464" s="10" t="str">
        <f t="shared" si="38"/>
        <v>medium</v>
      </c>
      <c r="U464" s="1">
        <f t="shared" si="39"/>
        <v>10361.6</v>
      </c>
    </row>
    <row r="465" spans="1:21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35"/>
        <v>89.504000000000005</v>
      </c>
      <c r="Q465" s="1">
        <f t="shared" si="36"/>
        <v>358.01599999999996</v>
      </c>
      <c r="R465" s="1" t="str">
        <f t="shared" si="37"/>
        <v>low</v>
      </c>
      <c r="S465" s="1" t="str" cm="1">
        <f t="array" ref="S465">_xlfn.IFS(L465&gt;5,"high",L465=5,"medium",L465&lt;5,"low")</f>
        <v>low</v>
      </c>
      <c r="T465" s="10" t="str">
        <f t="shared" si="38"/>
        <v>low</v>
      </c>
      <c r="U465" s="1">
        <f t="shared" si="39"/>
        <v>559.4</v>
      </c>
    </row>
    <row r="466" spans="1:21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35"/>
        <v>377.24200000000002</v>
      </c>
      <c r="Q466" s="1">
        <f t="shared" si="36"/>
        <v>1508.9680000000001</v>
      </c>
      <c r="R466" s="1" t="str">
        <f t="shared" si="37"/>
        <v>low</v>
      </c>
      <c r="S466" s="1" t="str" cm="1">
        <f t="array" ref="S466">_xlfn.IFS(L466&gt;5,"high",L466=5,"medium",L466&lt;5,"low")</f>
        <v>low</v>
      </c>
      <c r="T466" s="10" t="str">
        <f t="shared" si="38"/>
        <v>low</v>
      </c>
      <c r="U466" s="1">
        <f t="shared" si="39"/>
        <v>2357.7600000000002</v>
      </c>
    </row>
    <row r="467" spans="1:21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35"/>
        <v>0</v>
      </c>
      <c r="Q467" s="1">
        <f t="shared" si="36"/>
        <v>22638.240000000002</v>
      </c>
      <c r="R467" s="1" t="str">
        <f t="shared" si="37"/>
        <v>high</v>
      </c>
      <c r="S467" s="1" t="str" cm="1">
        <f t="array" ref="S467">_xlfn.IFS(L467&gt;5,"high",L467=5,"medium",L467&lt;5,"low")</f>
        <v>high</v>
      </c>
      <c r="T467" s="10" t="str">
        <f t="shared" si="38"/>
        <v>high</v>
      </c>
      <c r="U467" s="1">
        <f t="shared" si="39"/>
        <v>22638.239999999998</v>
      </c>
    </row>
    <row r="468" spans="1:21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35"/>
        <v>1789.9574999999998</v>
      </c>
      <c r="Q468" s="1">
        <f t="shared" si="36"/>
        <v>10143.092499999999</v>
      </c>
      <c r="R468" s="1" t="str">
        <f t="shared" si="37"/>
        <v>low</v>
      </c>
      <c r="S468" s="1" t="str" cm="1">
        <f t="array" ref="S468">_xlfn.IFS(L468&gt;5,"high",L468=5,"medium",L468&lt;5,"low")</f>
        <v>low</v>
      </c>
      <c r="T468" s="10" t="str">
        <f t="shared" si="38"/>
        <v>low</v>
      </c>
      <c r="U468" s="1">
        <f t="shared" si="39"/>
        <v>14038.88</v>
      </c>
    </row>
    <row r="469" spans="1:21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35"/>
        <v>2169.3824999999997</v>
      </c>
      <c r="Q469" s="1">
        <f t="shared" si="36"/>
        <v>12293.1675</v>
      </c>
      <c r="R469" s="1" t="str">
        <f t="shared" si="37"/>
        <v>high</v>
      </c>
      <c r="S469" s="1" t="str" cm="1">
        <f t="array" ref="S469">_xlfn.IFS(L469&gt;5,"high",L469=5,"medium",L469&lt;5,"low")</f>
        <v>high</v>
      </c>
      <c r="T469" s="10" t="str">
        <f t="shared" si="38"/>
        <v>high</v>
      </c>
      <c r="U469" s="1">
        <f t="shared" si="39"/>
        <v>17014.77</v>
      </c>
    </row>
    <row r="470" spans="1:21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35"/>
        <v>937.02050000000008</v>
      </c>
      <c r="Q470" s="1">
        <f t="shared" si="36"/>
        <v>17803.389500000001</v>
      </c>
      <c r="R470" s="1" t="str">
        <f t="shared" si="37"/>
        <v>high</v>
      </c>
      <c r="S470" s="1" t="str" cm="1">
        <f t="array" ref="S470">_xlfn.IFS(L470&gt;5,"high",L470=5,"medium",L470&lt;5,"low")</f>
        <v>medium</v>
      </c>
      <c r="T470" s="10" t="str">
        <f t="shared" si="38"/>
        <v>medium</v>
      </c>
      <c r="U470" s="1">
        <f t="shared" si="39"/>
        <v>19726.75</v>
      </c>
    </row>
    <row r="471" spans="1:21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35"/>
        <v>57.273500000000006</v>
      </c>
      <c r="Q471" s="1">
        <f t="shared" si="36"/>
        <v>1088.1965</v>
      </c>
      <c r="R471" s="1" t="str">
        <f t="shared" si="37"/>
        <v>high</v>
      </c>
      <c r="S471" s="1" t="str" cm="1">
        <f t="array" ref="S471">_xlfn.IFS(L471&gt;5,"high",L471=5,"medium",L471&lt;5,"low")</f>
        <v>high</v>
      </c>
      <c r="T471" s="10" t="str">
        <f t="shared" si="38"/>
        <v>high</v>
      </c>
      <c r="U471" s="1">
        <f t="shared" si="39"/>
        <v>1205.76</v>
      </c>
    </row>
    <row r="472" spans="1:21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35"/>
        <v>1074.6580000000001</v>
      </c>
      <c r="Q472" s="1">
        <f t="shared" si="36"/>
        <v>20418.502</v>
      </c>
      <c r="R472" s="1" t="str">
        <f t="shared" si="37"/>
        <v>high</v>
      </c>
      <c r="S472" s="1" t="str" cm="1">
        <f t="array" ref="S472">_xlfn.IFS(L472&gt;5,"high",L472=5,"medium",L472&lt;5,"low")</f>
        <v>high</v>
      </c>
      <c r="T472" s="10" t="str">
        <f t="shared" si="38"/>
        <v>high</v>
      </c>
      <c r="U472" s="1">
        <f t="shared" si="39"/>
        <v>22624.38</v>
      </c>
    </row>
    <row r="473" spans="1:21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35"/>
        <v>1135.463</v>
      </c>
      <c r="Q473" s="1">
        <f t="shared" si="36"/>
        <v>10219.166999999999</v>
      </c>
      <c r="R473" s="1" t="str">
        <f t="shared" si="37"/>
        <v>high</v>
      </c>
      <c r="S473" s="1" t="str" cm="1">
        <f t="array" ref="S473">_xlfn.IFS(L473&gt;5,"high",L473=5,"medium",L473&lt;5,"low")</f>
        <v>medium</v>
      </c>
      <c r="T473" s="10" t="str">
        <f t="shared" si="38"/>
        <v>medium</v>
      </c>
      <c r="U473" s="1">
        <f t="shared" si="39"/>
        <v>12616.25</v>
      </c>
    </row>
    <row r="474" spans="1:21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35"/>
        <v>544.68050000000005</v>
      </c>
      <c r="Q474" s="1">
        <f t="shared" si="36"/>
        <v>10348.9295</v>
      </c>
      <c r="R474" s="1" t="str">
        <f t="shared" si="37"/>
        <v>high</v>
      </c>
      <c r="S474" s="1" t="str" cm="1">
        <f t="array" ref="S474">_xlfn.IFS(L474&gt;5,"high",L474=5,"medium",L474&lt;5,"low")</f>
        <v>high</v>
      </c>
      <c r="T474" s="10" t="str">
        <f t="shared" si="38"/>
        <v>high</v>
      </c>
      <c r="U474" s="1">
        <f t="shared" si="39"/>
        <v>11466.960000000001</v>
      </c>
    </row>
    <row r="475" spans="1:21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35"/>
        <v>213.97649999999999</v>
      </c>
      <c r="Q475" s="1">
        <f t="shared" si="36"/>
        <v>1212.5335</v>
      </c>
      <c r="R475" s="1" t="str">
        <f t="shared" si="37"/>
        <v>low</v>
      </c>
      <c r="S475" s="1" t="str" cm="1">
        <f t="array" ref="S475">_xlfn.IFS(L475&gt;5,"high",L475=5,"medium",L475&lt;5,"low")</f>
        <v>low</v>
      </c>
      <c r="T475" s="10" t="str">
        <f t="shared" si="38"/>
        <v>low</v>
      </c>
      <c r="U475" s="1">
        <f t="shared" si="39"/>
        <v>1678.25</v>
      </c>
    </row>
    <row r="476" spans="1:21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35"/>
        <v>1199.0350000000001</v>
      </c>
      <c r="Q476" s="1">
        <f t="shared" si="36"/>
        <v>10791.315000000001</v>
      </c>
      <c r="R476" s="1" t="str">
        <f t="shared" si="37"/>
        <v>high</v>
      </c>
      <c r="S476" s="1" t="str" cm="1">
        <f t="array" ref="S476">_xlfn.IFS(L476&gt;5,"high",L476=5,"medium",L476&lt;5,"low")</f>
        <v>high</v>
      </c>
      <c r="T476" s="10" t="str">
        <f t="shared" si="38"/>
        <v>high</v>
      </c>
      <c r="U476" s="1">
        <f t="shared" si="39"/>
        <v>13322.61</v>
      </c>
    </row>
    <row r="477" spans="1:21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35"/>
        <v>1118.4639999999999</v>
      </c>
      <c r="Q477" s="1">
        <f t="shared" si="36"/>
        <v>4473.8559999999998</v>
      </c>
      <c r="R477" s="1" t="str">
        <f t="shared" si="37"/>
        <v>low</v>
      </c>
      <c r="S477" s="1" t="str" cm="1">
        <f t="array" ref="S477">_xlfn.IFS(L477&gt;5,"high",L477=5,"medium",L477&lt;5,"low")</f>
        <v>low</v>
      </c>
      <c r="T477" s="10" t="str">
        <f t="shared" si="38"/>
        <v>low</v>
      </c>
      <c r="U477" s="1">
        <f t="shared" si="39"/>
        <v>6990.4</v>
      </c>
    </row>
    <row r="478" spans="1:21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35"/>
        <v>0</v>
      </c>
      <c r="Q478" s="1">
        <f t="shared" si="36"/>
        <v>5924.8</v>
      </c>
      <c r="R478" s="1" t="str">
        <f t="shared" si="37"/>
        <v>low</v>
      </c>
      <c r="S478" s="1" t="str" cm="1">
        <f t="array" ref="S478">_xlfn.IFS(L478&gt;5,"high",L478=5,"medium",L478&lt;5,"low")</f>
        <v>low</v>
      </c>
      <c r="T478" s="10" t="str">
        <f t="shared" si="38"/>
        <v>low</v>
      </c>
      <c r="U478" s="1">
        <f t="shared" si="39"/>
        <v>5924.8</v>
      </c>
    </row>
    <row r="479" spans="1:21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35"/>
        <v>159.39100000000002</v>
      </c>
      <c r="Q479" s="1">
        <f t="shared" si="36"/>
        <v>3028.4290000000001</v>
      </c>
      <c r="R479" s="1" t="str">
        <f t="shared" si="37"/>
        <v>high</v>
      </c>
      <c r="S479" s="1" t="str" cm="1">
        <f t="array" ref="S479">_xlfn.IFS(L479&gt;5,"high",L479=5,"medium",L479&lt;5,"low")</f>
        <v>medium</v>
      </c>
      <c r="T479" s="10" t="str">
        <f t="shared" si="38"/>
        <v>medium</v>
      </c>
      <c r="U479" s="1">
        <f t="shared" si="39"/>
        <v>3355.6</v>
      </c>
    </row>
    <row r="480" spans="1:21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35"/>
        <v>437.23599999999999</v>
      </c>
      <c r="Q480" s="1">
        <f t="shared" si="36"/>
        <v>1748.944</v>
      </c>
      <c r="R480" s="1" t="str">
        <f t="shared" si="37"/>
        <v>low</v>
      </c>
      <c r="S480" s="1" t="str" cm="1">
        <f t="array" ref="S480">_xlfn.IFS(L480&gt;5,"high",L480=5,"medium",L480&lt;5,"low")</f>
        <v>low</v>
      </c>
      <c r="T480" s="10" t="str">
        <f t="shared" si="38"/>
        <v>low</v>
      </c>
      <c r="U480" s="1">
        <f t="shared" si="39"/>
        <v>2732.73</v>
      </c>
    </row>
    <row r="481" spans="1:21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35"/>
        <v>646.42499999999995</v>
      </c>
      <c r="Q481" s="1">
        <f t="shared" si="36"/>
        <v>3663.0749999999998</v>
      </c>
      <c r="R481" s="1" t="str">
        <f t="shared" si="37"/>
        <v>high</v>
      </c>
      <c r="S481" s="1" t="str" cm="1">
        <f t="array" ref="S481">_xlfn.IFS(L481&gt;5,"high",L481=5,"medium",L481&lt;5,"low")</f>
        <v>high</v>
      </c>
      <c r="T481" s="10" t="str">
        <f t="shared" si="38"/>
        <v>high</v>
      </c>
      <c r="U481" s="1">
        <f t="shared" si="39"/>
        <v>5070</v>
      </c>
    </row>
    <row r="482" spans="1:21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35"/>
        <v>0</v>
      </c>
      <c r="Q482" s="1">
        <f t="shared" si="36"/>
        <v>9284.08</v>
      </c>
      <c r="R482" s="1" t="str">
        <f t="shared" si="37"/>
        <v>high</v>
      </c>
      <c r="S482" s="1" t="str" cm="1">
        <f t="array" ref="S482">_xlfn.IFS(L482&gt;5,"high",L482=5,"medium",L482&lt;5,"low")</f>
        <v>high</v>
      </c>
      <c r="T482" s="10" t="str">
        <f t="shared" si="38"/>
        <v>high</v>
      </c>
      <c r="U482" s="1">
        <f t="shared" si="39"/>
        <v>9284.08</v>
      </c>
    </row>
    <row r="483" spans="1:21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35"/>
        <v>2432.9080000000004</v>
      </c>
      <c r="Q483" s="1">
        <f t="shared" si="36"/>
        <v>9731.6320000000014</v>
      </c>
      <c r="R483" s="1" t="str">
        <f t="shared" si="37"/>
        <v>high</v>
      </c>
      <c r="S483" s="1" t="str" cm="1">
        <f t="array" ref="S483">_xlfn.IFS(L483&gt;5,"high",L483=5,"medium",L483&lt;5,"low")</f>
        <v>high</v>
      </c>
      <c r="T483" s="10" t="str">
        <f t="shared" si="38"/>
        <v>high</v>
      </c>
      <c r="U483" s="1">
        <f t="shared" si="39"/>
        <v>15205.679999999998</v>
      </c>
    </row>
    <row r="484" spans="1:21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35"/>
        <v>0</v>
      </c>
      <c r="Q484" s="1">
        <f t="shared" si="36"/>
        <v>1734.45</v>
      </c>
      <c r="R484" s="1" t="str">
        <f t="shared" si="37"/>
        <v>low</v>
      </c>
      <c r="S484" s="1" t="str" cm="1">
        <f t="array" ref="S484">_xlfn.IFS(L484&gt;5,"high",L484=5,"medium",L484&lt;5,"low")</f>
        <v>low</v>
      </c>
      <c r="T484" s="10" t="str">
        <f t="shared" si="38"/>
        <v>low</v>
      </c>
      <c r="U484" s="1">
        <f t="shared" si="39"/>
        <v>1734.4499999999998</v>
      </c>
    </row>
    <row r="485" spans="1:21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35"/>
        <v>1327.1310000000001</v>
      </c>
      <c r="Q485" s="1">
        <f t="shared" si="36"/>
        <v>25215.488999999998</v>
      </c>
      <c r="R485" s="1" t="str">
        <f t="shared" si="37"/>
        <v>high</v>
      </c>
      <c r="S485" s="1" t="str" cm="1">
        <f t="array" ref="S485">_xlfn.IFS(L485&gt;5,"high",L485=5,"medium",L485&lt;5,"low")</f>
        <v>high</v>
      </c>
      <c r="T485" s="10" t="str">
        <f t="shared" si="38"/>
        <v>high</v>
      </c>
      <c r="U485" s="1">
        <f t="shared" si="39"/>
        <v>27939.599999999999</v>
      </c>
    </row>
    <row r="486" spans="1:21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35"/>
        <v>330.18450000000001</v>
      </c>
      <c r="Q486" s="1">
        <f t="shared" si="36"/>
        <v>1871.0454999999999</v>
      </c>
      <c r="R486" s="1" t="str">
        <f t="shared" si="37"/>
        <v>low</v>
      </c>
      <c r="S486" s="1" t="str" cm="1">
        <f t="array" ref="S486">_xlfn.IFS(L486&gt;5,"high",L486=5,"medium",L486&lt;5,"low")</f>
        <v>low</v>
      </c>
      <c r="T486" s="10" t="str">
        <f t="shared" si="38"/>
        <v>low</v>
      </c>
      <c r="U486" s="1">
        <f t="shared" si="39"/>
        <v>2589.6799999999998</v>
      </c>
    </row>
    <row r="487" spans="1:21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35"/>
        <v>0</v>
      </c>
      <c r="Q487" s="1">
        <f t="shared" si="36"/>
        <v>6981.93</v>
      </c>
      <c r="R487" s="1" t="str">
        <f t="shared" si="37"/>
        <v>high</v>
      </c>
      <c r="S487" s="1" t="str" cm="1">
        <f t="array" ref="S487">_xlfn.IFS(L487&gt;5,"high",L487=5,"medium",L487&lt;5,"low")</f>
        <v>high</v>
      </c>
      <c r="T487" s="10" t="str">
        <f t="shared" si="38"/>
        <v>high</v>
      </c>
      <c r="U487" s="1">
        <f t="shared" si="39"/>
        <v>6981.93</v>
      </c>
    </row>
    <row r="488" spans="1:21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35"/>
        <v>1760.73</v>
      </c>
      <c r="Q488" s="1">
        <f t="shared" si="36"/>
        <v>7042.92</v>
      </c>
      <c r="R488" s="1" t="str">
        <f t="shared" si="37"/>
        <v>low</v>
      </c>
      <c r="S488" s="1" t="str" cm="1">
        <f t="array" ref="S488">_xlfn.IFS(L488&gt;5,"high",L488=5,"medium",L488&lt;5,"low")</f>
        <v>low</v>
      </c>
      <c r="T488" s="10" t="str">
        <f t="shared" si="38"/>
        <v>low</v>
      </c>
      <c r="U488" s="1">
        <f t="shared" si="39"/>
        <v>11004.56</v>
      </c>
    </row>
    <row r="489" spans="1:21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35"/>
        <v>14.090000000000002</v>
      </c>
      <c r="Q489" s="1">
        <f t="shared" si="36"/>
        <v>267.71000000000004</v>
      </c>
      <c r="R489" s="1" t="str">
        <f t="shared" si="37"/>
        <v>low</v>
      </c>
      <c r="S489" s="1" t="str" cm="1">
        <f t="array" ref="S489">_xlfn.IFS(L489&gt;5,"high",L489=5,"medium",L489&lt;5,"low")</f>
        <v>low</v>
      </c>
      <c r="T489" s="10" t="str">
        <f t="shared" si="38"/>
        <v>low</v>
      </c>
      <c r="U489" s="1">
        <f t="shared" si="39"/>
        <v>296.63</v>
      </c>
    </row>
    <row r="490" spans="1:21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35"/>
        <v>964.01450000000011</v>
      </c>
      <c r="Q490" s="1">
        <f t="shared" si="36"/>
        <v>18316.2755</v>
      </c>
      <c r="R490" s="1" t="str">
        <f t="shared" si="37"/>
        <v>high</v>
      </c>
      <c r="S490" s="1" t="str" cm="1">
        <f t="array" ref="S490">_xlfn.IFS(L490&gt;5,"high",L490=5,"medium",L490&lt;5,"low")</f>
        <v>high</v>
      </c>
      <c r="T490" s="10" t="str">
        <f t="shared" si="38"/>
        <v>high</v>
      </c>
      <c r="U490" s="1">
        <f t="shared" si="39"/>
        <v>20295.04</v>
      </c>
    </row>
    <row r="491" spans="1:21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35"/>
        <v>3178.6280000000002</v>
      </c>
      <c r="Q491" s="1">
        <f t="shared" si="36"/>
        <v>12714.511999999999</v>
      </c>
      <c r="R491" s="1" t="str">
        <f t="shared" si="37"/>
        <v>high</v>
      </c>
      <c r="S491" s="1" t="str" cm="1">
        <f t="array" ref="S491">_xlfn.IFS(L491&gt;5,"high",L491=5,"medium",L491&lt;5,"low")</f>
        <v>high</v>
      </c>
      <c r="T491" s="10" t="str">
        <f t="shared" si="38"/>
        <v>high</v>
      </c>
      <c r="U491" s="1">
        <f t="shared" si="39"/>
        <v>19866.419999999998</v>
      </c>
    </row>
    <row r="492" spans="1:21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35"/>
        <v>781.94399999999996</v>
      </c>
      <c r="Q492" s="1">
        <f t="shared" si="36"/>
        <v>3127.7759999999998</v>
      </c>
      <c r="R492" s="1" t="str">
        <f t="shared" si="37"/>
        <v>high</v>
      </c>
      <c r="S492" s="1" t="str" cm="1">
        <f t="array" ref="S492">_xlfn.IFS(L492&gt;5,"high",L492=5,"medium",L492&lt;5,"low")</f>
        <v>medium</v>
      </c>
      <c r="T492" s="10" t="str">
        <f t="shared" si="38"/>
        <v>medium</v>
      </c>
      <c r="U492" s="1">
        <f t="shared" si="39"/>
        <v>4887.1499999999996</v>
      </c>
    </row>
    <row r="493" spans="1:21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35"/>
        <v>0</v>
      </c>
      <c r="Q493" s="1">
        <f t="shared" si="36"/>
        <v>1557.8</v>
      </c>
      <c r="R493" s="1" t="str">
        <f t="shared" si="37"/>
        <v>high</v>
      </c>
      <c r="S493" s="1" t="str" cm="1">
        <f t="array" ref="S493">_xlfn.IFS(L493&gt;5,"high",L493=5,"medium",L493&lt;5,"low")</f>
        <v>medium</v>
      </c>
      <c r="T493" s="10" t="str">
        <f t="shared" si="38"/>
        <v>medium</v>
      </c>
      <c r="U493" s="1">
        <f t="shared" si="39"/>
        <v>1557.8</v>
      </c>
    </row>
    <row r="494" spans="1:21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35"/>
        <v>976.51900000000012</v>
      </c>
      <c r="Q494" s="1">
        <f t="shared" si="36"/>
        <v>8788.6710000000003</v>
      </c>
      <c r="R494" s="1" t="str">
        <f t="shared" si="37"/>
        <v>high</v>
      </c>
      <c r="S494" s="1" t="str" cm="1">
        <f t="array" ref="S494">_xlfn.IFS(L494&gt;5,"high",L494=5,"medium",L494&lt;5,"low")</f>
        <v>high</v>
      </c>
      <c r="T494" s="10" t="str">
        <f t="shared" si="38"/>
        <v>high</v>
      </c>
      <c r="U494" s="1">
        <f t="shared" si="39"/>
        <v>10850.21</v>
      </c>
    </row>
    <row r="495" spans="1:21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35"/>
        <v>125.77750000000002</v>
      </c>
      <c r="Q495" s="1">
        <f t="shared" si="36"/>
        <v>2389.7725</v>
      </c>
      <c r="R495" s="1" t="str">
        <f t="shared" si="37"/>
        <v>high</v>
      </c>
      <c r="S495" s="1" t="str" cm="1">
        <f t="array" ref="S495">_xlfn.IFS(L495&gt;5,"high",L495=5,"medium",L495&lt;5,"low")</f>
        <v>medium</v>
      </c>
      <c r="T495" s="10" t="str">
        <f t="shared" si="38"/>
        <v>medium</v>
      </c>
      <c r="U495" s="1">
        <f t="shared" si="39"/>
        <v>2647.9500000000003</v>
      </c>
    </row>
    <row r="496" spans="1:21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35"/>
        <v>0</v>
      </c>
      <c r="Q496" s="1">
        <f t="shared" si="36"/>
        <v>4787.5200000000004</v>
      </c>
      <c r="R496" s="1" t="str">
        <f t="shared" si="37"/>
        <v>high</v>
      </c>
      <c r="S496" s="1" t="str" cm="1">
        <f t="array" ref="S496">_xlfn.IFS(L496&gt;5,"high",L496=5,"medium",L496&lt;5,"low")</f>
        <v>high</v>
      </c>
      <c r="T496" s="10" t="str">
        <f t="shared" si="38"/>
        <v>high</v>
      </c>
      <c r="U496" s="1">
        <f t="shared" si="39"/>
        <v>4787.5200000000004</v>
      </c>
    </row>
    <row r="497" spans="1:21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35"/>
        <v>1083.7540000000001</v>
      </c>
      <c r="Q497" s="1">
        <f t="shared" si="36"/>
        <v>4335.0160000000005</v>
      </c>
      <c r="R497" s="1" t="str">
        <f t="shared" si="37"/>
        <v>high</v>
      </c>
      <c r="S497" s="1" t="str" cm="1">
        <f t="array" ref="S497">_xlfn.IFS(L497&gt;5,"high",L497=5,"medium",L497&lt;5,"low")</f>
        <v>high</v>
      </c>
      <c r="T497" s="10" t="str">
        <f t="shared" si="38"/>
        <v>high</v>
      </c>
      <c r="U497" s="1">
        <f t="shared" si="39"/>
        <v>6773.4600000000009</v>
      </c>
    </row>
    <row r="498" spans="1:21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35"/>
        <v>0</v>
      </c>
      <c r="Q498" s="1">
        <f t="shared" si="36"/>
        <v>6437.75</v>
      </c>
      <c r="R498" s="1" t="str">
        <f t="shared" si="37"/>
        <v>high</v>
      </c>
      <c r="S498" s="1" t="str" cm="1">
        <f t="array" ref="S498">_xlfn.IFS(L498&gt;5,"high",L498=5,"medium",L498&lt;5,"low")</f>
        <v>medium</v>
      </c>
      <c r="T498" s="10" t="str">
        <f t="shared" si="38"/>
        <v>medium</v>
      </c>
      <c r="U498" s="1">
        <f t="shared" si="39"/>
        <v>6437.75</v>
      </c>
    </row>
    <row r="499" spans="1:21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35"/>
        <v>3154.1620000000003</v>
      </c>
      <c r="Q499" s="1">
        <f t="shared" si="36"/>
        <v>12616.647999999999</v>
      </c>
      <c r="R499" s="1" t="str">
        <f t="shared" si="37"/>
        <v>high</v>
      </c>
      <c r="S499" s="1" t="str" cm="1">
        <f t="array" ref="S499">_xlfn.IFS(L499&gt;5,"high",L499=5,"medium",L499&lt;5,"low")</f>
        <v>high</v>
      </c>
      <c r="T499" s="10" t="str">
        <f t="shared" si="38"/>
        <v>high</v>
      </c>
      <c r="U499" s="1">
        <f t="shared" si="39"/>
        <v>19713.509999999998</v>
      </c>
    </row>
    <row r="500" spans="1:21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35"/>
        <v>704.26199999999994</v>
      </c>
      <c r="Q500" s="1">
        <f t="shared" si="36"/>
        <v>3990.8180000000002</v>
      </c>
      <c r="R500" s="1" t="str">
        <f t="shared" si="37"/>
        <v>low</v>
      </c>
      <c r="S500" s="1" t="str" cm="1">
        <f t="array" ref="S500">_xlfn.IFS(L500&gt;5,"high",L500=5,"medium",L500&lt;5,"low")</f>
        <v>low</v>
      </c>
      <c r="T500" s="10" t="str">
        <f t="shared" si="38"/>
        <v>low</v>
      </c>
      <c r="U500" s="1">
        <f t="shared" si="39"/>
        <v>5523.62</v>
      </c>
    </row>
    <row r="501" spans="1:21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35"/>
        <v>389.14800000000002</v>
      </c>
      <c r="Q501" s="1">
        <f t="shared" si="36"/>
        <v>1556.5920000000001</v>
      </c>
      <c r="R501" s="1" t="str">
        <f t="shared" si="37"/>
        <v>low</v>
      </c>
      <c r="S501" s="1" t="str" cm="1">
        <f t="array" ref="S501">_xlfn.IFS(L501&gt;5,"high",L501=5,"medium",L501&lt;5,"low")</f>
        <v>low</v>
      </c>
      <c r="T501" s="10" t="str">
        <f t="shared" si="38"/>
        <v>low</v>
      </c>
      <c r="U501" s="1">
        <f t="shared" si="39"/>
        <v>2432.17</v>
      </c>
    </row>
    <row r="502" spans="1:21" x14ac:dyDescent="0.3">
      <c r="U502" s="1">
        <f>SUM(U1:U501)</f>
        <v>5134263.8099999949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Sheet3</vt:lpstr>
      <vt:lpstr>Sheet4</vt:lpstr>
      <vt:lpstr>Sheet2</vt:lpstr>
      <vt:lpstr>Sheet2!Criteria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sohomdey58@gmail.com</cp:lastModifiedBy>
  <dcterms:created xsi:type="dcterms:W3CDTF">2025-11-28T09:29:24Z</dcterms:created>
  <dcterms:modified xsi:type="dcterms:W3CDTF">2026-08-06T10:59:51Z</dcterms:modified>
</cp:coreProperties>
</file>